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07_MY TEACHING RESOURCES\MBA-FINANCIAL MODELLING\FME_Topic_01_financial Statement Analysis\Financial_Statement_Analysis\"/>
    </mc:Choice>
  </mc:AlternateContent>
  <xr:revisionPtr revIDLastSave="0" documentId="13_ncr:1_{4B584C02-669D-4BB7-B9F3-D94C55B80425}" xr6:coauthVersionLast="47" xr6:coauthVersionMax="47" xr10:uidLastSave="{00000000-0000-0000-0000-000000000000}"/>
  <bookViews>
    <workbookView xWindow="-110" yWindow="-110" windowWidth="19420" windowHeight="10300" firstSheet="3" activeTab="8" xr2:uid="{A3A95733-EDA8-4FD9-870F-2EA091C224DB}"/>
  </bookViews>
  <sheets>
    <sheet name="Index" sheetId="15" r:id="rId1"/>
    <sheet name="IS" sheetId="8" r:id="rId2"/>
    <sheet name="BS" sheetId="5" r:id="rId3"/>
    <sheet name="IS_XLOOKUP" sheetId="9" r:id="rId4"/>
    <sheet name="ISCOMP" sheetId="11" r:id="rId5"/>
    <sheet name="BS_XLOOKUP" sheetId="10" r:id="rId6"/>
    <sheet name="BSCOMP" sheetId="12" r:id="rId7"/>
    <sheet name="ISCOMM" sheetId="13" r:id="rId8"/>
    <sheet name="BS_COMM" sheetId="1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4" l="1"/>
  <c r="C6" i="14"/>
  <c r="D6" i="14"/>
  <c r="E6" i="14"/>
  <c r="F6" i="14"/>
  <c r="B7" i="14"/>
  <c r="C7" i="14"/>
  <c r="D7" i="14"/>
  <c r="E7" i="14"/>
  <c r="F7" i="14"/>
  <c r="B8" i="14"/>
  <c r="C8" i="14"/>
  <c r="D8" i="14"/>
  <c r="E8" i="14"/>
  <c r="F8" i="14"/>
  <c r="B9" i="14"/>
  <c r="C9" i="14"/>
  <c r="D9" i="14"/>
  <c r="E9" i="14"/>
  <c r="F9" i="14"/>
  <c r="B10" i="14"/>
  <c r="C10" i="14"/>
  <c r="D10" i="14"/>
  <c r="E10" i="14"/>
  <c r="F10" i="14"/>
  <c r="B11" i="14"/>
  <c r="C11" i="14"/>
  <c r="D11" i="14"/>
  <c r="E11" i="14"/>
  <c r="F11" i="14"/>
  <c r="B12" i="14"/>
  <c r="C12" i="14"/>
  <c r="D12" i="14"/>
  <c r="E12" i="14"/>
  <c r="F12" i="14"/>
  <c r="B13" i="14"/>
  <c r="C13" i="14"/>
  <c r="D13" i="14"/>
  <c r="E13" i="14"/>
  <c r="F13" i="14"/>
  <c r="B14" i="14"/>
  <c r="C14" i="14"/>
  <c r="D14" i="14"/>
  <c r="E14" i="14"/>
  <c r="F14" i="14"/>
  <c r="B15" i="14"/>
  <c r="C15" i="14"/>
  <c r="D15" i="14"/>
  <c r="E15" i="14"/>
  <c r="F15" i="14"/>
  <c r="B16" i="14"/>
  <c r="C16" i="14"/>
  <c r="D16" i="14"/>
  <c r="E16" i="14"/>
  <c r="F16" i="14"/>
  <c r="B17" i="14"/>
  <c r="C17" i="14"/>
  <c r="D17" i="14"/>
  <c r="E17" i="14"/>
  <c r="F17" i="14"/>
  <c r="B18" i="14"/>
  <c r="C18" i="14"/>
  <c r="D18" i="14"/>
  <c r="E18" i="14"/>
  <c r="F18" i="14"/>
  <c r="B19" i="14"/>
  <c r="C19" i="14"/>
  <c r="D19" i="14"/>
  <c r="E19" i="14"/>
  <c r="F19" i="14"/>
  <c r="B20" i="14"/>
  <c r="C20" i="14"/>
  <c r="D20" i="14"/>
  <c r="E20" i="14"/>
  <c r="F20" i="14"/>
  <c r="C5" i="14"/>
  <c r="D5" i="14"/>
  <c r="E5" i="14"/>
  <c r="F5" i="14"/>
  <c r="B5" i="14"/>
  <c r="B4" i="13"/>
  <c r="B5" i="13"/>
  <c r="C5" i="13"/>
  <c r="D5" i="13"/>
  <c r="E5" i="13"/>
  <c r="F5" i="13"/>
  <c r="B6" i="13"/>
  <c r="C6" i="13"/>
  <c r="D6" i="13"/>
  <c r="E6" i="13"/>
  <c r="F6" i="13"/>
  <c r="B7" i="13"/>
  <c r="C7" i="13"/>
  <c r="D7" i="13"/>
  <c r="E7" i="13"/>
  <c r="F7" i="13"/>
  <c r="B8" i="13"/>
  <c r="C8" i="13"/>
  <c r="D8" i="13"/>
  <c r="E8" i="13"/>
  <c r="F8" i="13"/>
  <c r="B10" i="13"/>
  <c r="C10" i="13"/>
  <c r="D10" i="13"/>
  <c r="E10" i="13"/>
  <c r="F10" i="13"/>
  <c r="B11" i="13"/>
  <c r="C11" i="13"/>
  <c r="D11" i="13"/>
  <c r="E11" i="13"/>
  <c r="F11" i="13"/>
  <c r="B12" i="13"/>
  <c r="C12" i="13"/>
  <c r="D12" i="13"/>
  <c r="E12" i="13"/>
  <c r="F12" i="13"/>
  <c r="B13" i="13"/>
  <c r="C13" i="13"/>
  <c r="D13" i="13"/>
  <c r="E13" i="13"/>
  <c r="F13" i="13"/>
  <c r="B14" i="13"/>
  <c r="C14" i="13"/>
  <c r="D14" i="13"/>
  <c r="E14" i="13"/>
  <c r="F14" i="13"/>
  <c r="B15" i="13"/>
  <c r="C15" i="13"/>
  <c r="D15" i="13"/>
  <c r="E15" i="13"/>
  <c r="F15" i="13"/>
  <c r="B16" i="13"/>
  <c r="C16" i="13"/>
  <c r="D16" i="13"/>
  <c r="E16" i="13"/>
  <c r="F16" i="13"/>
  <c r="B17" i="13"/>
  <c r="C17" i="13"/>
  <c r="D17" i="13"/>
  <c r="E17" i="13"/>
  <c r="F17" i="13"/>
  <c r="B18" i="13"/>
  <c r="C18" i="13"/>
  <c r="D18" i="13"/>
  <c r="E18" i="13"/>
  <c r="F18" i="13"/>
  <c r="B19" i="13"/>
  <c r="C19" i="13"/>
  <c r="D19" i="13"/>
  <c r="E19" i="13"/>
  <c r="F19" i="13"/>
  <c r="B20" i="13"/>
  <c r="C20" i="13"/>
  <c r="D20" i="13"/>
  <c r="E20" i="13"/>
  <c r="F20" i="13"/>
  <c r="B21" i="13"/>
  <c r="C21" i="13"/>
  <c r="D21" i="13"/>
  <c r="E21" i="13"/>
  <c r="F21" i="13"/>
  <c r="B22" i="13"/>
  <c r="C22" i="13"/>
  <c r="D22" i="13"/>
  <c r="E22" i="13"/>
  <c r="F22" i="13"/>
  <c r="B23" i="13"/>
  <c r="C23" i="13"/>
  <c r="D23" i="13"/>
  <c r="E23" i="13"/>
  <c r="F23" i="13"/>
  <c r="B24" i="13"/>
  <c r="C24" i="13"/>
  <c r="D24" i="13"/>
  <c r="E24" i="13"/>
  <c r="F24" i="13"/>
  <c r="B25" i="13"/>
  <c r="C25" i="13"/>
  <c r="D25" i="13"/>
  <c r="E25" i="13"/>
  <c r="F25" i="13"/>
  <c r="B26" i="13"/>
  <c r="C26" i="13"/>
  <c r="D26" i="13"/>
  <c r="E26" i="13"/>
  <c r="F26" i="13"/>
  <c r="B27" i="13"/>
  <c r="C27" i="13"/>
  <c r="D27" i="13"/>
  <c r="E27" i="13"/>
  <c r="F27" i="13"/>
  <c r="C4" i="13"/>
  <c r="D4" i="13"/>
  <c r="E4" i="13"/>
  <c r="F4" i="13"/>
  <c r="B4" i="11"/>
  <c r="B6" i="12"/>
  <c r="C6" i="12"/>
  <c r="D6" i="12"/>
  <c r="E6" i="12"/>
  <c r="B7" i="12"/>
  <c r="C7" i="12"/>
  <c r="D7" i="12"/>
  <c r="E7" i="12"/>
  <c r="B8" i="12"/>
  <c r="C8" i="12"/>
  <c r="D8" i="12"/>
  <c r="E8" i="12"/>
  <c r="B9" i="12"/>
  <c r="C9" i="12"/>
  <c r="D9" i="12"/>
  <c r="E9" i="12"/>
  <c r="B10" i="12"/>
  <c r="C10" i="12"/>
  <c r="D10" i="12"/>
  <c r="E10" i="12"/>
  <c r="B11" i="12"/>
  <c r="C11" i="12"/>
  <c r="D11" i="12"/>
  <c r="E11" i="12"/>
  <c r="B12" i="12"/>
  <c r="C12" i="12"/>
  <c r="D12" i="12"/>
  <c r="E12" i="12"/>
  <c r="B13" i="12"/>
  <c r="C13" i="12"/>
  <c r="D13" i="12"/>
  <c r="E13" i="12"/>
  <c r="B14" i="12"/>
  <c r="C14" i="12"/>
  <c r="D14" i="12"/>
  <c r="E14" i="12"/>
  <c r="B15" i="12"/>
  <c r="C15" i="12"/>
  <c r="D15" i="12"/>
  <c r="E15" i="12"/>
  <c r="B16" i="12"/>
  <c r="C16" i="12"/>
  <c r="D16" i="12"/>
  <c r="E16" i="12"/>
  <c r="B17" i="12"/>
  <c r="C17" i="12"/>
  <c r="D17" i="12"/>
  <c r="E17" i="12"/>
  <c r="B18" i="12"/>
  <c r="C18" i="12"/>
  <c r="D18" i="12"/>
  <c r="E18" i="12"/>
  <c r="B19" i="12"/>
  <c r="C19" i="12"/>
  <c r="D19" i="12"/>
  <c r="E19" i="12"/>
  <c r="B20" i="12"/>
  <c r="C20" i="12"/>
  <c r="D20" i="12"/>
  <c r="E20" i="12"/>
  <c r="C5" i="12"/>
  <c r="D5" i="12"/>
  <c r="E5" i="12"/>
  <c r="B5" i="12"/>
  <c r="F5" i="12"/>
  <c r="B6" i="10"/>
  <c r="C6" i="10"/>
  <c r="D6" i="10"/>
  <c r="E6" i="10"/>
  <c r="F6" i="10"/>
  <c r="B7" i="10"/>
  <c r="C7" i="10"/>
  <c r="D7" i="10"/>
  <c r="E7" i="10"/>
  <c r="F7" i="10"/>
  <c r="B8" i="10"/>
  <c r="C8" i="10"/>
  <c r="D8" i="10"/>
  <c r="E8" i="10"/>
  <c r="F8" i="10"/>
  <c r="B9" i="10"/>
  <c r="C9" i="10"/>
  <c r="D9" i="10"/>
  <c r="E9" i="10"/>
  <c r="F9" i="10"/>
  <c r="B10" i="10"/>
  <c r="C10" i="10"/>
  <c r="D10" i="10"/>
  <c r="E10" i="10"/>
  <c r="F10" i="10"/>
  <c r="B11" i="10"/>
  <c r="C11" i="10"/>
  <c r="D11" i="10"/>
  <c r="E11" i="10"/>
  <c r="F11" i="10"/>
  <c r="B12" i="10"/>
  <c r="C12" i="10"/>
  <c r="D12" i="10"/>
  <c r="E12" i="10"/>
  <c r="F12" i="10"/>
  <c r="B13" i="10"/>
  <c r="C13" i="10"/>
  <c r="D13" i="10"/>
  <c r="E13" i="10"/>
  <c r="F13" i="10"/>
  <c r="B14" i="10"/>
  <c r="C14" i="10"/>
  <c r="D14" i="10"/>
  <c r="E14" i="10"/>
  <c r="F14" i="10"/>
  <c r="B15" i="10"/>
  <c r="C15" i="10"/>
  <c r="D15" i="10"/>
  <c r="E15" i="10"/>
  <c r="F15" i="10"/>
  <c r="B16" i="10"/>
  <c r="C16" i="10"/>
  <c r="D16" i="10"/>
  <c r="E16" i="10"/>
  <c r="F16" i="10"/>
  <c r="B17" i="10"/>
  <c r="C17" i="10"/>
  <c r="D17" i="10"/>
  <c r="E17" i="10"/>
  <c r="F17" i="10"/>
  <c r="B18" i="10"/>
  <c r="C18" i="10"/>
  <c r="D18" i="10"/>
  <c r="E18" i="10"/>
  <c r="F18" i="10"/>
  <c r="B19" i="10"/>
  <c r="C19" i="10"/>
  <c r="D19" i="10"/>
  <c r="E19" i="10"/>
  <c r="F19" i="10"/>
  <c r="B20" i="10"/>
  <c r="C20" i="10"/>
  <c r="D20" i="10"/>
  <c r="E20" i="10"/>
  <c r="F20" i="10"/>
  <c r="C5" i="10"/>
  <c r="D5" i="10"/>
  <c r="E5" i="10"/>
  <c r="F5" i="10"/>
  <c r="B5" i="10"/>
  <c r="B4" i="9"/>
  <c r="B5" i="11"/>
  <c r="C5" i="11"/>
  <c r="D5" i="11"/>
  <c r="E5" i="11"/>
  <c r="B6" i="11"/>
  <c r="C6" i="11"/>
  <c r="D6" i="11"/>
  <c r="E6" i="11"/>
  <c r="B7" i="11"/>
  <c r="C7" i="11"/>
  <c r="D7" i="11"/>
  <c r="E7" i="11"/>
  <c r="B8" i="11"/>
  <c r="C8" i="11"/>
  <c r="D8" i="11"/>
  <c r="E8" i="11"/>
  <c r="B9" i="11"/>
  <c r="C9" i="11"/>
  <c r="D9" i="11"/>
  <c r="E9" i="11"/>
  <c r="B10" i="11"/>
  <c r="C10" i="11"/>
  <c r="D10" i="11"/>
  <c r="E10" i="11"/>
  <c r="B11" i="11"/>
  <c r="C11" i="11"/>
  <c r="D11" i="11"/>
  <c r="E11" i="11"/>
  <c r="B12" i="11"/>
  <c r="C12" i="11"/>
  <c r="D12" i="11"/>
  <c r="E12" i="11"/>
  <c r="B13" i="11"/>
  <c r="C13" i="11"/>
  <c r="D13" i="11"/>
  <c r="E13" i="11"/>
  <c r="B14" i="11"/>
  <c r="C14" i="11"/>
  <c r="D14" i="11"/>
  <c r="E14" i="11"/>
  <c r="B15" i="11"/>
  <c r="C15" i="11"/>
  <c r="D15" i="11"/>
  <c r="E15" i="11"/>
  <c r="B16" i="11"/>
  <c r="C16" i="11"/>
  <c r="D16" i="11"/>
  <c r="E16" i="11"/>
  <c r="B17" i="11"/>
  <c r="C17" i="11"/>
  <c r="D17" i="11"/>
  <c r="E17" i="11"/>
  <c r="B18" i="11"/>
  <c r="C18" i="11"/>
  <c r="D18" i="11"/>
  <c r="E18" i="11"/>
  <c r="B19" i="11"/>
  <c r="C19" i="11"/>
  <c r="D19" i="11"/>
  <c r="E19" i="11"/>
  <c r="B20" i="11"/>
  <c r="C20" i="11"/>
  <c r="D20" i="11"/>
  <c r="E20" i="11"/>
  <c r="B21" i="11"/>
  <c r="C21" i="11"/>
  <c r="D21" i="11"/>
  <c r="E21" i="11"/>
  <c r="B22" i="11"/>
  <c r="C22" i="11"/>
  <c r="D22" i="11"/>
  <c r="E22" i="11"/>
  <c r="B23" i="11"/>
  <c r="C23" i="11"/>
  <c r="D23" i="11"/>
  <c r="E23" i="11"/>
  <c r="B24" i="11"/>
  <c r="C24" i="11"/>
  <c r="D24" i="11"/>
  <c r="E24" i="11"/>
  <c r="B25" i="11"/>
  <c r="C25" i="11"/>
  <c r="D25" i="11"/>
  <c r="E25" i="11"/>
  <c r="B26" i="11"/>
  <c r="C26" i="11"/>
  <c r="D26" i="11"/>
  <c r="E26" i="11"/>
  <c r="B27" i="11"/>
  <c r="C27" i="11"/>
  <c r="D27" i="11"/>
  <c r="E27" i="11"/>
  <c r="C4" i="11"/>
  <c r="D4" i="11"/>
  <c r="E4" i="11"/>
  <c r="B5" i="9"/>
  <c r="C5" i="9"/>
  <c r="D5" i="9"/>
  <c r="E5" i="9"/>
  <c r="F5" i="9"/>
  <c r="B6" i="9"/>
  <c r="C6" i="9"/>
  <c r="D6" i="9"/>
  <c r="E6" i="9"/>
  <c r="F6" i="9"/>
  <c r="B7" i="9"/>
  <c r="C7" i="9"/>
  <c r="D7" i="9"/>
  <c r="E7" i="9"/>
  <c r="F7" i="9"/>
  <c r="B8" i="9"/>
  <c r="C8" i="9"/>
  <c r="D8" i="9"/>
  <c r="E8" i="9"/>
  <c r="F8" i="9"/>
  <c r="B10" i="9"/>
  <c r="C10" i="9"/>
  <c r="D10" i="9"/>
  <c r="E10" i="9"/>
  <c r="F10" i="9"/>
  <c r="B11" i="9"/>
  <c r="C11" i="9"/>
  <c r="D11" i="9"/>
  <c r="E11" i="9"/>
  <c r="F11" i="9"/>
  <c r="B12" i="9"/>
  <c r="C12" i="9"/>
  <c r="D12" i="9"/>
  <c r="E12" i="9"/>
  <c r="F12" i="9"/>
  <c r="B13" i="9"/>
  <c r="C13" i="9"/>
  <c r="D13" i="9"/>
  <c r="E13" i="9"/>
  <c r="F13" i="9"/>
  <c r="B14" i="9"/>
  <c r="C14" i="9"/>
  <c r="D14" i="9"/>
  <c r="E14" i="9"/>
  <c r="F14" i="9"/>
  <c r="B15" i="9"/>
  <c r="C15" i="9"/>
  <c r="D15" i="9"/>
  <c r="E15" i="9"/>
  <c r="F15" i="9"/>
  <c r="B16" i="9"/>
  <c r="C16" i="9"/>
  <c r="D16" i="9"/>
  <c r="E16" i="9"/>
  <c r="F16" i="9"/>
  <c r="B17" i="9"/>
  <c r="C17" i="9"/>
  <c r="D17" i="9"/>
  <c r="E17" i="9"/>
  <c r="F17" i="9"/>
  <c r="B18" i="9"/>
  <c r="C18" i="9"/>
  <c r="D18" i="9"/>
  <c r="E18" i="9"/>
  <c r="F18" i="9"/>
  <c r="B19" i="9"/>
  <c r="C19" i="9"/>
  <c r="D19" i="9"/>
  <c r="E19" i="9"/>
  <c r="F19" i="9"/>
  <c r="B20" i="9"/>
  <c r="C20" i="9"/>
  <c r="D20" i="9"/>
  <c r="E20" i="9"/>
  <c r="F20" i="9"/>
  <c r="B21" i="9"/>
  <c r="C21" i="9"/>
  <c r="D21" i="9"/>
  <c r="E21" i="9"/>
  <c r="F21" i="9"/>
  <c r="B22" i="9"/>
  <c r="C22" i="9"/>
  <c r="D22" i="9"/>
  <c r="E22" i="9"/>
  <c r="F22" i="9"/>
  <c r="B23" i="9"/>
  <c r="C23" i="9"/>
  <c r="D23" i="9"/>
  <c r="E23" i="9"/>
  <c r="F23" i="9"/>
  <c r="B24" i="9"/>
  <c r="C24" i="9"/>
  <c r="D24" i="9"/>
  <c r="E24" i="9"/>
  <c r="F24" i="9"/>
  <c r="B25" i="9"/>
  <c r="C25" i="9"/>
  <c r="D25" i="9"/>
  <c r="E25" i="9"/>
  <c r="F25" i="9"/>
  <c r="B26" i="9"/>
  <c r="C26" i="9"/>
  <c r="D26" i="9"/>
  <c r="E26" i="9"/>
  <c r="F26" i="9"/>
  <c r="B27" i="9"/>
  <c r="C27" i="9"/>
  <c r="D27" i="9"/>
  <c r="E27" i="9"/>
  <c r="F27" i="9"/>
  <c r="C4" i="9"/>
  <c r="D4" i="9"/>
  <c r="E4" i="9"/>
  <c r="F4" i="9"/>
</calcChain>
</file>

<file path=xl/sharedStrings.xml><?xml version="1.0" encoding="utf-8"?>
<sst xmlns="http://schemas.openxmlformats.org/spreadsheetml/2006/main" count="297" uniqueCount="77">
  <si>
    <t>Particulars</t>
  </si>
  <si>
    <t>I. Revenue from operations</t>
  </si>
  <si>
    <t>II. Other Income</t>
  </si>
  <si>
    <t>IV. Expenses:</t>
  </si>
  <si>
    <t>(a) Cost of materials consumed</t>
  </si>
  <si>
    <t>(b) Purchases of products for sale</t>
  </si>
  <si>
    <t>(d) Employee benefits expense</t>
  </si>
  <si>
    <t>(e) Finance costs</t>
  </si>
  <si>
    <t>(f) Foreign exchange loss (net)</t>
  </si>
  <si>
    <t>(g) Depreciation and amortisation expense</t>
  </si>
  <si>
    <t>(h) Product development/Engineering expenses</t>
  </si>
  <si>
    <t>(i) Other expenses</t>
  </si>
  <si>
    <t>(j) Amount transferred to capital and other accounts</t>
  </si>
  <si>
    <t>Total Expenses (IV)</t>
  </si>
  <si>
    <t>VIII. Tax expense / (credit) (net)</t>
  </si>
  <si>
    <t>III. Total Income (I+II)</t>
  </si>
  <si>
    <t>X. Other comprehensive income/(loss) (net of tax)</t>
  </si>
  <si>
    <t>XI. Total comprehensive income/(loss) for the year</t>
  </si>
  <si>
    <t>VI. Exceptional items (Loss) / Gain (Net)</t>
  </si>
  <si>
    <t>IX. Profit/(Loss) for the year (PAT)</t>
  </si>
  <si>
    <t>I. ASSETS</t>
  </si>
  <si>
    <t>(1) NON-CURRENT ASSETS</t>
  </si>
  <si>
    <t>Property, plant and equipment (PPE)</t>
  </si>
  <si>
    <t>Capital work-in-progress (CWIP)</t>
  </si>
  <si>
    <t>Right of use assets (ROU)</t>
  </si>
  <si>
    <t>Goodwill</t>
  </si>
  <si>
    <t>Other intangible assets</t>
  </si>
  <si>
    <t>Intangible assets under development</t>
  </si>
  <si>
    <t>Investments in subsidiaries, JVs &amp; associates</t>
  </si>
  <si>
    <t>Financial assets (Investments, Loans, Others)</t>
  </si>
  <si>
    <t>Non-current tax assets (Net)</t>
  </si>
  <si>
    <t>Other non-current assets</t>
  </si>
  <si>
    <t>(2) CURRENT ASSETS</t>
  </si>
  <si>
    <t>Inventories</t>
  </si>
  <si>
    <t>Financial assets (Investments, Trade receivables, Cash &amp; Bank, Loans, Others)</t>
  </si>
  <si>
    <t>Current tax assets (Net)</t>
  </si>
  <si>
    <t>Assets classified as held-for-sale</t>
  </si>
  <si>
    <t>TOTAL ASSETS (1) + (2)</t>
  </si>
  <si>
    <t>II. EQUITY AND LIABILITIES</t>
  </si>
  <si>
    <t>(1) EQUITY</t>
  </si>
  <si>
    <t>Equity share capital</t>
  </si>
  <si>
    <t>Other equity</t>
  </si>
  <si>
    <t>(2) NON-CURRENT LIABILITIES</t>
  </si>
  <si>
    <t>Financial liabilities (Borrowings &amp; Lease)</t>
  </si>
  <si>
    <t>Provisions</t>
  </si>
  <si>
    <t>Deferred tax liabilities (Net)</t>
  </si>
  <si>
    <t>Other non-current liabilities</t>
  </si>
  <si>
    <t>(3) CURRENT LIABILITIES</t>
  </si>
  <si>
    <t>Financial liabilities (Borrowings, Trade Payables, Others)</t>
  </si>
  <si>
    <t>Current tax liabilities (Net)</t>
  </si>
  <si>
    <t>Other current liabilities</t>
  </si>
  <si>
    <t>TOTAL EQUITY AND LIABILITIES (1) + (2) + (3)</t>
  </si>
  <si>
    <t>(a) Revenue</t>
  </si>
  <si>
    <t>(b) Other operating revenue</t>
  </si>
  <si>
    <t>Total revenue from operations (I)</t>
  </si>
  <si>
    <t>V. Profit/(Loss) before exceptional items and tax (III-IV)</t>
  </si>
  <si>
    <t>VII. Profit/(Loss) before tax</t>
  </si>
  <si>
    <t>FY2024</t>
  </si>
  <si>
    <t>FY2023</t>
  </si>
  <si>
    <t>FY2022</t>
  </si>
  <si>
    <t>FY2021</t>
  </si>
  <si>
    <t>FY2020</t>
  </si>
  <si>
    <t>(c) Changes in Stock</t>
  </si>
  <si>
    <t>Comparative Income Statement of Tata Motors from FY2020 TO FY2024</t>
  </si>
  <si>
    <t>Comparative Balance Sheet of Tata Motors from FY2020 TO FY2024</t>
  </si>
  <si>
    <t>Income Statement of Tata Motors from FY2020 TO FY2024</t>
  </si>
  <si>
    <t>Balance Sheet of Tata Motors from FY2020 TO FY2024</t>
  </si>
  <si>
    <t>Common -Size Income Statement of Tata Motors from FY2020 TO FY2024</t>
  </si>
  <si>
    <t>Index</t>
  </si>
  <si>
    <t>IS</t>
  </si>
  <si>
    <t>BS</t>
  </si>
  <si>
    <t>IS_XLOOKUP</t>
  </si>
  <si>
    <t>ISCOMP</t>
  </si>
  <si>
    <t>BS_XLOOP</t>
  </si>
  <si>
    <t>BSCOMP</t>
  </si>
  <si>
    <t>ISCOMM</t>
  </si>
  <si>
    <t>BSCOMM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</si>
</sst>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/>
    <xf numFmtId="4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4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4" fontId="1" fillId="0" borderId="0" xfId="0" applyNumberFormat="1" applyFont="1" applyAlignment="1">
      <alignment vertical="center" wrapText="1"/>
    </xf>
    <xf numFmtId="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0" fontId="0" fillId="0" borderId="0" xfId="1" applyNumberFormat="1" applyFont="1"/>
    <xf numFmtId="0" fontId="4" fillId="0" borderId="0" xfId="2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CAF54-044B-4FB5-B228-13948FDFE2C0}">
  <dimension ref="A1:B9"/>
  <sheetViews>
    <sheetView workbookViewId="0">
      <selection activeCell="B4" sqref="B4"/>
    </sheetView>
  </sheetViews>
  <sheetFormatPr defaultRowHeight="14.5" x14ac:dyDescent="0.35"/>
  <cols>
    <col min="1" max="1" width="7.36328125" customWidth="1"/>
    <col min="2" max="2" width="14.453125" customWidth="1"/>
  </cols>
  <sheetData>
    <row r="1" spans="1:2" x14ac:dyDescent="0.35">
      <c r="A1" s="3" t="s">
        <v>68</v>
      </c>
    </row>
    <row r="2" spans="1:2" x14ac:dyDescent="0.35">
      <c r="A2">
        <v>1</v>
      </c>
      <c r="B2" s="12" t="s">
        <v>69</v>
      </c>
    </row>
    <row r="3" spans="1:2" x14ac:dyDescent="0.35">
      <c r="A3">
        <v>2</v>
      </c>
      <c r="B3" s="12" t="s">
        <v>70</v>
      </c>
    </row>
    <row r="4" spans="1:2" x14ac:dyDescent="0.35">
      <c r="A4">
        <v>3</v>
      </c>
      <c r="B4" s="12" t="s">
        <v>71</v>
      </c>
    </row>
    <row r="5" spans="1:2" x14ac:dyDescent="0.35">
      <c r="A5">
        <v>4</v>
      </c>
      <c r="B5" s="12" t="s">
        <v>72</v>
      </c>
    </row>
    <row r="6" spans="1:2" x14ac:dyDescent="0.35">
      <c r="A6">
        <v>5</v>
      </c>
      <c r="B6" s="12" t="s">
        <v>73</v>
      </c>
    </row>
    <row r="7" spans="1:2" x14ac:dyDescent="0.35">
      <c r="A7">
        <v>6</v>
      </c>
      <c r="B7" s="12" t="s">
        <v>74</v>
      </c>
    </row>
    <row r="8" spans="1:2" x14ac:dyDescent="0.35">
      <c r="A8">
        <v>7</v>
      </c>
      <c r="B8" s="12" t="s">
        <v>75</v>
      </c>
    </row>
    <row r="9" spans="1:2" x14ac:dyDescent="0.35">
      <c r="A9">
        <v>8</v>
      </c>
      <c r="B9" s="12" t="s">
        <v>76</v>
      </c>
    </row>
  </sheetData>
  <hyperlinks>
    <hyperlink ref="B2" location="IS!A1" display="IS" xr:uid="{3D77B586-20EC-4819-B86A-7841591BC53B}"/>
    <hyperlink ref="B3" location="BS!A1" display="BS" xr:uid="{95704D03-9F68-415C-A85D-86FF896A202B}"/>
    <hyperlink ref="B4" location="IS_XLOOKUP!A1" display="IS_XLOOKUP" xr:uid="{06D10C9A-E85A-4EB5-9EF7-6745339E1E57}"/>
    <hyperlink ref="B5" location="ISCOMP!A1" display="ISCOMP" xr:uid="{196133CE-D0D6-4155-A6B9-F57507C9FAC7}"/>
    <hyperlink ref="B6" location="BS_XLOOKUP!A1" display="BS_XLOOP" xr:uid="{ACF51651-38CB-4D41-92B5-EDA69D588FBB}"/>
    <hyperlink ref="B7" location="BSCOMP!A1" display="BSCOMP" xr:uid="{DDDE5FC0-CFD9-4737-B76F-6168A8B5A842}"/>
    <hyperlink ref="B8" location="ISCOMM!A1" display="ISCOMM" xr:uid="{B3420187-4F64-4D26-85EA-1F03D7F53398}"/>
    <hyperlink ref="B9" location="BS_COMM!A1" display="BSCOMM" xr:uid="{280870A9-5482-4A9A-AAFD-F9A331BE760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3B44C-D8CD-483F-AD18-2D89F51A2935}">
  <dimension ref="A1:F27"/>
  <sheetViews>
    <sheetView workbookViewId="0"/>
  </sheetViews>
  <sheetFormatPr defaultRowHeight="14.5" x14ac:dyDescent="0.35"/>
  <cols>
    <col min="1" max="1" width="43.6328125" customWidth="1"/>
    <col min="2" max="2" width="12" customWidth="1"/>
    <col min="3" max="3" width="11.08984375" customWidth="1"/>
    <col min="4" max="4" width="11" customWidth="1"/>
    <col min="5" max="5" width="10.54296875" customWidth="1"/>
    <col min="6" max="6" width="10.26953125" customWidth="1"/>
  </cols>
  <sheetData>
    <row r="1" spans="1:6" x14ac:dyDescent="0.35">
      <c r="A1" s="3" t="s">
        <v>65</v>
      </c>
    </row>
    <row r="2" spans="1:6" x14ac:dyDescent="0.35">
      <c r="A2" s="2" t="s">
        <v>0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</row>
    <row r="3" spans="1:6" x14ac:dyDescent="0.35">
      <c r="A3" s="2" t="s">
        <v>1</v>
      </c>
      <c r="B3" s="1"/>
      <c r="C3" s="1"/>
      <c r="D3" s="1"/>
      <c r="E3" s="1"/>
      <c r="F3" s="1"/>
    </row>
    <row r="4" spans="1:6" x14ac:dyDescent="0.35">
      <c r="A4" s="1" t="s">
        <v>52</v>
      </c>
      <c r="B4" s="4">
        <v>72745.919999999998</v>
      </c>
      <c r="C4" s="4">
        <v>65298.84</v>
      </c>
      <c r="D4" s="4">
        <v>46880.97</v>
      </c>
      <c r="E4" s="4">
        <v>46559.39</v>
      </c>
      <c r="F4" s="4">
        <v>43485.760000000002</v>
      </c>
    </row>
    <row r="5" spans="1:6" x14ac:dyDescent="0.35">
      <c r="A5" s="1" t="s">
        <v>53</v>
      </c>
      <c r="B5" s="5">
        <v>557.16</v>
      </c>
      <c r="C5" s="5">
        <v>458.49</v>
      </c>
      <c r="D5" s="5">
        <v>382.71</v>
      </c>
      <c r="E5" s="5">
        <v>472.08</v>
      </c>
      <c r="F5" s="5">
        <v>442.41</v>
      </c>
    </row>
    <row r="6" spans="1:6" x14ac:dyDescent="0.35">
      <c r="A6" s="2" t="s">
        <v>54</v>
      </c>
      <c r="B6" s="6">
        <v>73303.08</v>
      </c>
      <c r="C6" s="6">
        <v>65757.33</v>
      </c>
      <c r="D6" s="6">
        <v>47263.68</v>
      </c>
      <c r="E6" s="6">
        <v>47031.47</v>
      </c>
      <c r="F6" s="6">
        <v>43928.17</v>
      </c>
    </row>
    <row r="7" spans="1:6" x14ac:dyDescent="0.35">
      <c r="A7" s="2" t="s">
        <v>2</v>
      </c>
      <c r="B7" s="6">
        <v>1149.8800000000001</v>
      </c>
      <c r="C7" s="7">
        <v>820.94</v>
      </c>
      <c r="D7" s="7">
        <v>659.91</v>
      </c>
      <c r="E7" s="7">
        <v>842.96</v>
      </c>
      <c r="F7" s="6">
        <v>1383.05</v>
      </c>
    </row>
    <row r="8" spans="1:6" x14ac:dyDescent="0.35">
      <c r="A8" s="2" t="s">
        <v>15</v>
      </c>
      <c r="B8" s="6">
        <v>74452.960000000006</v>
      </c>
      <c r="C8" s="6">
        <v>66578.27</v>
      </c>
      <c r="D8" s="6">
        <v>47923.59</v>
      </c>
      <c r="E8" s="6">
        <v>47874.43</v>
      </c>
      <c r="F8" s="6">
        <v>45311.22</v>
      </c>
    </row>
    <row r="9" spans="1:6" x14ac:dyDescent="0.35">
      <c r="A9" s="2" t="s">
        <v>3</v>
      </c>
      <c r="B9" s="5"/>
      <c r="C9" s="5"/>
      <c r="D9" s="5"/>
      <c r="E9" s="5"/>
      <c r="F9" s="5"/>
    </row>
    <row r="10" spans="1:6" x14ac:dyDescent="0.35">
      <c r="A10" s="1" t="s">
        <v>4</v>
      </c>
      <c r="B10" s="4">
        <v>46757.279999999999</v>
      </c>
      <c r="C10" s="4">
        <v>42226.81</v>
      </c>
      <c r="D10" s="4">
        <v>31693.11</v>
      </c>
      <c r="E10" s="4">
        <v>28493.119999999999</v>
      </c>
      <c r="F10" s="4">
        <v>26171.85</v>
      </c>
    </row>
    <row r="11" spans="1:6" x14ac:dyDescent="0.35">
      <c r="A11" s="1" t="s">
        <v>5</v>
      </c>
      <c r="B11" s="4">
        <v>6707.03</v>
      </c>
      <c r="C11" s="4">
        <v>6561.32</v>
      </c>
      <c r="D11" s="4">
        <v>5030</v>
      </c>
      <c r="E11" s="4">
        <v>7518.05</v>
      </c>
      <c r="F11" s="4">
        <v>5679.98</v>
      </c>
    </row>
    <row r="12" spans="1:6" x14ac:dyDescent="0.35">
      <c r="A12" s="1" t="s">
        <v>62</v>
      </c>
      <c r="B12" s="4">
        <v>1736.35</v>
      </c>
      <c r="C12" s="5">
        <v>484.69</v>
      </c>
      <c r="D12" s="5">
        <v>-403.87</v>
      </c>
      <c r="E12" s="5">
        <v>-108.48</v>
      </c>
      <c r="F12" s="5">
        <v>722.68</v>
      </c>
    </row>
    <row r="13" spans="1:6" x14ac:dyDescent="0.35">
      <c r="A13" s="1" t="s">
        <v>6</v>
      </c>
      <c r="B13" s="4">
        <v>4308.1499999999996</v>
      </c>
      <c r="C13" s="4">
        <v>4021.63</v>
      </c>
      <c r="D13" s="4">
        <v>3601.51</v>
      </c>
      <c r="E13" s="4">
        <v>3987.72</v>
      </c>
      <c r="F13" s="4">
        <v>4384.3100000000004</v>
      </c>
    </row>
    <row r="14" spans="1:6" x14ac:dyDescent="0.35">
      <c r="A14" s="1" t="s">
        <v>7</v>
      </c>
      <c r="B14" s="4">
        <v>1705.74</v>
      </c>
      <c r="C14" s="4">
        <v>2047.51</v>
      </c>
      <c r="D14" s="4">
        <v>2121.73</v>
      </c>
      <c r="E14" s="4">
        <v>2288.61</v>
      </c>
      <c r="F14" s="4">
        <v>1973</v>
      </c>
    </row>
    <row r="15" spans="1:6" x14ac:dyDescent="0.35">
      <c r="A15" s="1" t="s">
        <v>8</v>
      </c>
      <c r="B15" s="5">
        <v>200.72</v>
      </c>
      <c r="C15" s="5">
        <v>279.76</v>
      </c>
      <c r="D15" s="5">
        <v>136.81</v>
      </c>
      <c r="E15" s="5">
        <v>29.02</v>
      </c>
      <c r="F15" s="5">
        <v>239</v>
      </c>
    </row>
    <row r="16" spans="1:6" x14ac:dyDescent="0.35">
      <c r="A16" s="1" t="s">
        <v>9</v>
      </c>
      <c r="B16" s="4">
        <v>2016.84</v>
      </c>
      <c r="C16" s="4">
        <v>1766.86</v>
      </c>
      <c r="D16" s="4">
        <v>1760.57</v>
      </c>
      <c r="E16" s="4">
        <v>3325.8</v>
      </c>
      <c r="F16" s="4">
        <v>3375.29</v>
      </c>
    </row>
    <row r="17" spans="1:6" x14ac:dyDescent="0.35">
      <c r="A17" s="1" t="s">
        <v>10</v>
      </c>
      <c r="B17" s="4">
        <v>1104.79</v>
      </c>
      <c r="C17" s="5">
        <v>899.06</v>
      </c>
      <c r="D17" s="5">
        <v>593.9</v>
      </c>
      <c r="E17" s="5">
        <v>907.44</v>
      </c>
      <c r="F17" s="5">
        <v>830.24</v>
      </c>
    </row>
    <row r="18" spans="1:6" x14ac:dyDescent="0.35">
      <c r="A18" s="1" t="s">
        <v>11</v>
      </c>
      <c r="B18" s="4">
        <v>7610.15</v>
      </c>
      <c r="C18" s="4">
        <v>7819.74</v>
      </c>
      <c r="D18" s="4">
        <v>6018.71</v>
      </c>
      <c r="E18" s="4">
        <v>5612.48</v>
      </c>
      <c r="F18" s="4">
        <v>7720.75</v>
      </c>
    </row>
    <row r="19" spans="1:6" x14ac:dyDescent="0.35">
      <c r="A19" s="1" t="s">
        <v>12</v>
      </c>
      <c r="B19" s="4">
        <v>-1129.73</v>
      </c>
      <c r="C19" s="4">
        <v>-1066.73</v>
      </c>
      <c r="D19" s="5">
        <v>-905.42</v>
      </c>
      <c r="E19" s="5">
        <v>-817.53</v>
      </c>
      <c r="F19" s="4">
        <v>-1169.46</v>
      </c>
    </row>
    <row r="20" spans="1:6" x14ac:dyDescent="0.35">
      <c r="A20" s="2" t="s">
        <v>13</v>
      </c>
      <c r="B20" s="6">
        <v>69317.320000000007</v>
      </c>
      <c r="C20" s="6">
        <v>65040.65</v>
      </c>
      <c r="D20" s="6">
        <v>49647.05</v>
      </c>
      <c r="E20" s="6">
        <v>51239.38</v>
      </c>
      <c r="F20" s="6">
        <v>49927.64</v>
      </c>
    </row>
    <row r="21" spans="1:6" ht="29" x14ac:dyDescent="0.35">
      <c r="A21" s="2" t="s">
        <v>55</v>
      </c>
      <c r="B21" s="6">
        <v>5135.6400000000003</v>
      </c>
      <c r="C21" s="6">
        <v>1537.62</v>
      </c>
      <c r="D21" s="6">
        <v>-1723.46</v>
      </c>
      <c r="E21" s="6">
        <v>-3364.95</v>
      </c>
      <c r="F21" s="6">
        <v>-4616.42</v>
      </c>
    </row>
    <row r="22" spans="1:6" x14ac:dyDescent="0.35">
      <c r="A22" s="1" t="s">
        <v>18</v>
      </c>
      <c r="B22" s="4">
        <v>-2808.41</v>
      </c>
      <c r="C22" s="5">
        <v>282.82</v>
      </c>
      <c r="D22" s="5">
        <v>-83.41</v>
      </c>
      <c r="E22" s="5">
        <v>-37.85</v>
      </c>
      <c r="F22" s="4">
        <v>2510.92</v>
      </c>
    </row>
    <row r="23" spans="1:6" x14ac:dyDescent="0.35">
      <c r="A23" s="2" t="s">
        <v>56</v>
      </c>
      <c r="B23" s="6">
        <v>7850.82</v>
      </c>
      <c r="C23" s="6">
        <v>1254.8</v>
      </c>
      <c r="D23" s="6">
        <v>-1247.54</v>
      </c>
      <c r="E23" s="6">
        <v>-2350.42</v>
      </c>
      <c r="F23" s="6">
        <v>-7127.34</v>
      </c>
    </row>
    <row r="24" spans="1:6" x14ac:dyDescent="0.35">
      <c r="A24" s="1" t="s">
        <v>14</v>
      </c>
      <c r="B24" s="5">
        <v>-51.26</v>
      </c>
      <c r="C24" s="4">
        <v>-1473.33</v>
      </c>
      <c r="D24" s="5">
        <v>143.32</v>
      </c>
      <c r="E24" s="5">
        <v>82.87</v>
      </c>
      <c r="F24" s="5">
        <v>162.29</v>
      </c>
    </row>
    <row r="25" spans="1:6" x14ac:dyDescent="0.35">
      <c r="A25" s="2" t="s">
        <v>19</v>
      </c>
      <c r="B25" s="6">
        <v>7902.08</v>
      </c>
      <c r="C25" s="6">
        <v>2728.13</v>
      </c>
      <c r="D25" s="6">
        <v>-1390.86</v>
      </c>
      <c r="E25" s="6">
        <v>-2395.44</v>
      </c>
      <c r="F25" s="6">
        <v>-7289.63</v>
      </c>
    </row>
    <row r="26" spans="1:6" x14ac:dyDescent="0.35">
      <c r="A26" s="1" t="s">
        <v>16</v>
      </c>
      <c r="B26" s="5">
        <v>436.56</v>
      </c>
      <c r="C26" s="5">
        <v>-276.49</v>
      </c>
      <c r="D26" s="5">
        <v>123.68</v>
      </c>
      <c r="E26" s="5">
        <v>442.99</v>
      </c>
      <c r="F26" s="5">
        <v>-378.72</v>
      </c>
    </row>
    <row r="27" spans="1:6" x14ac:dyDescent="0.35">
      <c r="A27" s="2" t="s">
        <v>17</v>
      </c>
      <c r="B27" s="6">
        <v>8338.64</v>
      </c>
      <c r="C27" s="6">
        <v>2451.64</v>
      </c>
      <c r="D27" s="6">
        <v>-1267.18</v>
      </c>
      <c r="E27" s="6">
        <v>-1952.45</v>
      </c>
      <c r="F27" s="6">
        <v>-7668.35</v>
      </c>
    </row>
  </sheetData>
  <printOptions gridLines="1"/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25377-8B31-4037-A284-A7F4C014BDCF}">
  <dimension ref="A1:G36"/>
  <sheetViews>
    <sheetView topLeftCell="A36" workbookViewId="0">
      <selection activeCell="K29" sqref="K29"/>
    </sheetView>
  </sheetViews>
  <sheetFormatPr defaultRowHeight="14.5" x14ac:dyDescent="0.35"/>
  <cols>
    <col min="1" max="1" width="46.36328125" customWidth="1"/>
  </cols>
  <sheetData>
    <row r="1" spans="1:7" x14ac:dyDescent="0.35">
      <c r="A1" s="3" t="s">
        <v>66</v>
      </c>
    </row>
    <row r="2" spans="1:7" x14ac:dyDescent="0.35">
      <c r="A2" s="2" t="s">
        <v>0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2"/>
    </row>
    <row r="3" spans="1:7" x14ac:dyDescent="0.35">
      <c r="A3" s="2" t="s">
        <v>20</v>
      </c>
      <c r="B3" s="1"/>
      <c r="C3" s="1"/>
      <c r="D3" s="1"/>
      <c r="E3" s="1"/>
      <c r="F3" s="1"/>
      <c r="G3" s="1"/>
    </row>
    <row r="4" spans="1:7" x14ac:dyDescent="0.35">
      <c r="A4" s="2" t="s">
        <v>21</v>
      </c>
      <c r="B4" s="8">
        <v>36133.089999999997</v>
      </c>
      <c r="C4" s="8">
        <v>33060.22</v>
      </c>
      <c r="D4" s="8">
        <v>30958.82</v>
      </c>
      <c r="E4" s="8">
        <v>30283.65</v>
      </c>
      <c r="F4" s="8">
        <v>47242.06</v>
      </c>
      <c r="G4" s="1"/>
    </row>
    <row r="5" spans="1:7" x14ac:dyDescent="0.35">
      <c r="A5" s="1" t="s">
        <v>22</v>
      </c>
      <c r="B5" s="9">
        <v>12056.24</v>
      </c>
      <c r="C5" s="9">
        <v>12176.6</v>
      </c>
      <c r="D5" s="9">
        <v>11811.02</v>
      </c>
      <c r="E5" s="9">
        <v>17143.04</v>
      </c>
      <c r="F5" s="9">
        <v>18870.669999999998</v>
      </c>
      <c r="G5" s="1"/>
    </row>
    <row r="6" spans="1:7" x14ac:dyDescent="0.35">
      <c r="A6" s="1" t="s">
        <v>23</v>
      </c>
      <c r="B6" s="10">
        <v>575.65</v>
      </c>
      <c r="C6" s="10">
        <v>575.65</v>
      </c>
      <c r="D6" s="10">
        <v>585.21</v>
      </c>
      <c r="E6" s="9">
        <v>1324.21</v>
      </c>
      <c r="F6" s="9">
        <v>1755.51</v>
      </c>
      <c r="G6" s="1"/>
    </row>
    <row r="7" spans="1:7" x14ac:dyDescent="0.35">
      <c r="A7" s="1" t="s">
        <v>24</v>
      </c>
      <c r="B7" s="10">
        <v>338.25</v>
      </c>
      <c r="C7" s="10">
        <v>344.2</v>
      </c>
      <c r="D7" s="10">
        <v>332.45</v>
      </c>
      <c r="E7" s="10">
        <v>979.48</v>
      </c>
      <c r="F7" s="10">
        <v>669.58</v>
      </c>
      <c r="G7" s="1"/>
    </row>
    <row r="8" spans="1:7" x14ac:dyDescent="0.35">
      <c r="A8" s="1" t="s">
        <v>25</v>
      </c>
      <c r="B8" s="10">
        <v>99.09</v>
      </c>
      <c r="C8" s="10">
        <v>99.09</v>
      </c>
      <c r="D8" s="10">
        <v>99.09</v>
      </c>
      <c r="E8" s="10">
        <v>99.09</v>
      </c>
      <c r="F8" s="10">
        <v>99.09</v>
      </c>
      <c r="G8" s="1"/>
    </row>
    <row r="9" spans="1:7" x14ac:dyDescent="0.35">
      <c r="A9" s="1" t="s">
        <v>26</v>
      </c>
      <c r="B9" s="9">
        <v>1768.49</v>
      </c>
      <c r="C9" s="9">
        <v>1914.76</v>
      </c>
      <c r="D9" s="9">
        <v>2009.87</v>
      </c>
      <c r="E9" s="9">
        <v>6156.56</v>
      </c>
      <c r="F9" s="9">
        <v>5568.64</v>
      </c>
      <c r="G9" s="1"/>
    </row>
    <row r="10" spans="1:7" x14ac:dyDescent="0.35">
      <c r="A10" s="1" t="s">
        <v>27</v>
      </c>
      <c r="B10" s="10">
        <v>509.3</v>
      </c>
      <c r="C10" s="10">
        <v>509.3</v>
      </c>
      <c r="D10" s="10">
        <v>882.03</v>
      </c>
      <c r="E10" s="9">
        <v>1604.23</v>
      </c>
      <c r="F10" s="9">
        <v>2739.29</v>
      </c>
      <c r="G10" s="1"/>
    </row>
    <row r="11" spans="1:7" x14ac:dyDescent="0.35">
      <c r="A11" s="1" t="s">
        <v>28</v>
      </c>
      <c r="B11" s="9">
        <v>25819.34</v>
      </c>
      <c r="C11" s="9">
        <v>27976.799999999999</v>
      </c>
      <c r="D11" s="9">
        <v>24723.34</v>
      </c>
      <c r="E11" s="9">
        <v>14287.8</v>
      </c>
      <c r="F11" s="9">
        <v>15182.29</v>
      </c>
      <c r="G11" s="1"/>
    </row>
    <row r="12" spans="1:7" x14ac:dyDescent="0.35">
      <c r="A12" s="1" t="s">
        <v>29</v>
      </c>
      <c r="B12" s="9">
        <v>-1283.47</v>
      </c>
      <c r="C12" s="9">
        <v>-1402.16</v>
      </c>
      <c r="D12" s="9">
        <v>-1507.57</v>
      </c>
      <c r="E12" s="9">
        <v>1691.01</v>
      </c>
      <c r="F12" s="9">
        <v>2204.5300000000002</v>
      </c>
      <c r="G12" s="1"/>
    </row>
    <row r="13" spans="1:7" x14ac:dyDescent="0.35">
      <c r="A13" s="1" t="s">
        <v>30</v>
      </c>
      <c r="B13" s="9">
        <v>1751.48</v>
      </c>
      <c r="C13" s="9">
        <v>1909.8</v>
      </c>
      <c r="D13" s="9">
        <v>1847.16</v>
      </c>
      <c r="E13" s="10">
        <v>741.02</v>
      </c>
      <c r="F13" s="10">
        <v>727.97</v>
      </c>
      <c r="G13" s="1"/>
    </row>
    <row r="14" spans="1:7" x14ac:dyDescent="0.35">
      <c r="A14" s="1" t="s">
        <v>31</v>
      </c>
      <c r="B14" s="9">
        <v>-1301.98</v>
      </c>
      <c r="C14" s="9">
        <v>-1439.42</v>
      </c>
      <c r="D14" s="9">
        <v>-2059.4499999999998</v>
      </c>
      <c r="E14" s="9">
        <v>1056.77</v>
      </c>
      <c r="F14" s="9">
        <v>1208.08</v>
      </c>
      <c r="G14" s="1"/>
    </row>
    <row r="15" spans="1:7" x14ac:dyDescent="0.35">
      <c r="A15" s="2" t="s">
        <v>32</v>
      </c>
      <c r="B15" s="8">
        <v>36258.71</v>
      </c>
      <c r="C15" s="8">
        <v>26868.97</v>
      </c>
      <c r="D15" s="8">
        <v>26792.13</v>
      </c>
      <c r="E15" s="8">
        <v>25309.78</v>
      </c>
      <c r="F15" s="8">
        <v>7861.82</v>
      </c>
      <c r="G15" s="1"/>
    </row>
    <row r="16" spans="1:7" x14ac:dyDescent="0.35">
      <c r="A16" s="1" t="s">
        <v>33</v>
      </c>
      <c r="B16" s="9">
        <v>8247.7800000000007</v>
      </c>
      <c r="C16" s="9">
        <v>5515.22</v>
      </c>
      <c r="D16" s="9">
        <v>5348.88</v>
      </c>
      <c r="E16" s="9">
        <v>5084.7</v>
      </c>
      <c r="F16" s="9">
        <v>6654.89</v>
      </c>
      <c r="G16" s="1"/>
    </row>
    <row r="17" spans="1:7" ht="29" x14ac:dyDescent="0.35">
      <c r="A17" s="1" t="s">
        <v>34</v>
      </c>
      <c r="B17" s="9">
        <v>26819.29</v>
      </c>
      <c r="C17" s="9">
        <v>20401.759999999998</v>
      </c>
      <c r="D17" s="9">
        <v>20689.84</v>
      </c>
      <c r="E17" s="9">
        <v>19307.38</v>
      </c>
      <c r="F17" s="10">
        <v>913.68</v>
      </c>
      <c r="G17" s="1"/>
    </row>
    <row r="18" spans="1:7" x14ac:dyDescent="0.35">
      <c r="A18" s="1" t="s">
        <v>35</v>
      </c>
      <c r="B18" s="10">
        <v>108.76</v>
      </c>
      <c r="C18" s="10">
        <v>98.49</v>
      </c>
      <c r="D18" s="10">
        <v>27.6</v>
      </c>
      <c r="E18" s="10">
        <v>4.3899999999999997</v>
      </c>
      <c r="F18" s="10">
        <v>102.5</v>
      </c>
      <c r="G18" s="1"/>
    </row>
    <row r="19" spans="1:7" x14ac:dyDescent="0.35">
      <c r="A19" s="1" t="s">
        <v>36</v>
      </c>
      <c r="B19" s="10">
        <v>64.92</v>
      </c>
      <c r="C19" s="10">
        <v>827.78</v>
      </c>
      <c r="D19" s="10">
        <v>725.81</v>
      </c>
      <c r="E19" s="10">
        <v>913.31</v>
      </c>
      <c r="F19" s="10">
        <v>190.75</v>
      </c>
      <c r="G19" s="1"/>
    </row>
    <row r="20" spans="1:7" x14ac:dyDescent="0.35">
      <c r="A20" s="2" t="s">
        <v>37</v>
      </c>
      <c r="B20" s="8">
        <v>72391.8</v>
      </c>
      <c r="C20" s="8">
        <v>59929.19</v>
      </c>
      <c r="D20" s="8">
        <v>57750.95</v>
      </c>
      <c r="E20" s="8">
        <v>55593.43</v>
      </c>
      <c r="F20" s="8">
        <v>55103.88</v>
      </c>
      <c r="G20" s="1"/>
    </row>
    <row r="21" spans="1:7" x14ac:dyDescent="0.35">
      <c r="A21" s="1"/>
      <c r="B21" s="10"/>
      <c r="C21" s="10"/>
      <c r="D21" s="10"/>
      <c r="E21" s="10"/>
      <c r="F21" s="10"/>
      <c r="G21" s="1"/>
    </row>
    <row r="22" spans="1:7" x14ac:dyDescent="0.35">
      <c r="A22" s="2" t="s">
        <v>38</v>
      </c>
      <c r="B22" s="10"/>
      <c r="C22" s="10"/>
      <c r="D22" s="10"/>
      <c r="E22" s="10"/>
      <c r="F22" s="10"/>
      <c r="G22" s="1"/>
    </row>
    <row r="23" spans="1:7" x14ac:dyDescent="0.35">
      <c r="A23" s="2" t="s">
        <v>39</v>
      </c>
      <c r="B23" s="8">
        <v>34068.79</v>
      </c>
      <c r="C23" s="8">
        <v>28683.65</v>
      </c>
      <c r="D23" s="8">
        <v>27786.17</v>
      </c>
      <c r="E23" s="8">
        <v>27173.34</v>
      </c>
      <c r="F23" s="8">
        <v>24545.91</v>
      </c>
      <c r="G23" s="1"/>
    </row>
    <row r="24" spans="1:7" x14ac:dyDescent="0.35">
      <c r="A24" s="1" t="s">
        <v>40</v>
      </c>
      <c r="B24" s="10">
        <v>766.49</v>
      </c>
      <c r="C24" s="10">
        <v>766.02</v>
      </c>
      <c r="D24" s="10">
        <v>765.88</v>
      </c>
      <c r="E24" s="10">
        <v>765.81</v>
      </c>
      <c r="F24" s="10">
        <v>719.54</v>
      </c>
      <c r="G24" s="1"/>
    </row>
    <row r="25" spans="1:7" x14ac:dyDescent="0.35">
      <c r="A25" s="1" t="s">
        <v>41</v>
      </c>
      <c r="B25" s="9">
        <v>33302.300000000003</v>
      </c>
      <c r="C25" s="9">
        <v>27917.63</v>
      </c>
      <c r="D25" s="9">
        <v>27020.29</v>
      </c>
      <c r="E25" s="9">
        <v>26407.53</v>
      </c>
      <c r="F25" s="9">
        <v>23826.37</v>
      </c>
      <c r="G25" s="1"/>
    </row>
    <row r="26" spans="1:7" x14ac:dyDescent="0.35">
      <c r="A26" s="2" t="s">
        <v>42</v>
      </c>
      <c r="B26" s="8">
        <v>14449.18</v>
      </c>
      <c r="C26" s="8">
        <v>10501.71</v>
      </c>
      <c r="D26" s="8">
        <v>9436.56</v>
      </c>
      <c r="E26" s="8">
        <v>10544.75</v>
      </c>
      <c r="F26" s="8">
        <v>13293.48</v>
      </c>
      <c r="G26" s="1"/>
    </row>
    <row r="27" spans="1:7" x14ac:dyDescent="0.35">
      <c r="A27" s="1" t="s">
        <v>43</v>
      </c>
      <c r="B27" s="9">
        <v>11632.4</v>
      </c>
      <c r="C27" s="9">
        <v>7654.51</v>
      </c>
      <c r="D27" s="9">
        <v>6560.85</v>
      </c>
      <c r="E27" s="9">
        <v>7728.84</v>
      </c>
      <c r="F27" s="9">
        <v>10234.34</v>
      </c>
      <c r="G27" s="1"/>
    </row>
    <row r="28" spans="1:7" x14ac:dyDescent="0.35">
      <c r="A28" s="1" t="s">
        <v>44</v>
      </c>
      <c r="B28" s="9">
        <v>2752.48</v>
      </c>
      <c r="C28" s="9">
        <v>2787.05</v>
      </c>
      <c r="D28" s="9">
        <v>2828.53</v>
      </c>
      <c r="E28" s="9">
        <v>2776.99</v>
      </c>
      <c r="F28" s="9">
        <v>3030.14</v>
      </c>
      <c r="G28" s="1"/>
    </row>
    <row r="29" spans="1:7" x14ac:dyDescent="0.35">
      <c r="A29" s="1" t="s">
        <v>45</v>
      </c>
      <c r="B29" s="10">
        <v>-7.8</v>
      </c>
      <c r="C29" s="10">
        <v>1.83</v>
      </c>
      <c r="D29" s="10">
        <v>1.84</v>
      </c>
      <c r="E29" s="10">
        <v>-373.19</v>
      </c>
      <c r="F29" s="10">
        <v>7.92</v>
      </c>
      <c r="G29" s="1"/>
    </row>
    <row r="30" spans="1:7" x14ac:dyDescent="0.35">
      <c r="A30" s="1" t="s">
        <v>46</v>
      </c>
      <c r="B30" s="10">
        <v>72.099999999999994</v>
      </c>
      <c r="C30" s="10">
        <v>58.32</v>
      </c>
      <c r="D30" s="10">
        <v>45.34</v>
      </c>
      <c r="E30" s="10">
        <v>412</v>
      </c>
      <c r="F30" s="10">
        <v>21.08</v>
      </c>
      <c r="G30" s="1"/>
    </row>
    <row r="31" spans="1:7" x14ac:dyDescent="0.35">
      <c r="A31" s="2" t="s">
        <v>47</v>
      </c>
      <c r="B31" s="8">
        <v>23873.83</v>
      </c>
      <c r="C31" s="8">
        <v>20743.830000000002</v>
      </c>
      <c r="D31" s="8">
        <v>20528.22</v>
      </c>
      <c r="E31" s="8">
        <v>17875.34</v>
      </c>
      <c r="F31" s="8">
        <v>17264.490000000002</v>
      </c>
      <c r="G31" s="1"/>
    </row>
    <row r="32" spans="1:7" ht="29" x14ac:dyDescent="0.35">
      <c r="A32" s="1" t="s">
        <v>48</v>
      </c>
      <c r="B32" s="9">
        <v>22234.33</v>
      </c>
      <c r="C32" s="9">
        <v>18973.91</v>
      </c>
      <c r="D32" s="9">
        <v>18913.34</v>
      </c>
      <c r="E32" s="9">
        <v>16339.06</v>
      </c>
      <c r="F32" s="9">
        <v>15360.7</v>
      </c>
      <c r="G32" s="1"/>
    </row>
    <row r="33" spans="1:7" x14ac:dyDescent="0.35">
      <c r="A33" s="1" t="s">
        <v>44</v>
      </c>
      <c r="B33" s="9">
        <v>1023.7</v>
      </c>
      <c r="C33" s="9">
        <v>1087.49</v>
      </c>
      <c r="D33" s="10">
        <v>913.04</v>
      </c>
      <c r="E33" s="10">
        <v>910.16</v>
      </c>
      <c r="F33" s="9">
        <v>1043.54</v>
      </c>
      <c r="G33" s="1"/>
    </row>
    <row r="34" spans="1:7" x14ac:dyDescent="0.35">
      <c r="A34" s="1" t="s">
        <v>49</v>
      </c>
      <c r="B34" s="10">
        <v>148.16</v>
      </c>
      <c r="C34" s="10">
        <v>212.72</v>
      </c>
      <c r="D34" s="10">
        <v>19.82</v>
      </c>
      <c r="E34" s="10">
        <v>87.05</v>
      </c>
      <c r="F34" s="10">
        <v>295.33999999999997</v>
      </c>
      <c r="G34" s="1"/>
    </row>
    <row r="35" spans="1:7" x14ac:dyDescent="0.35">
      <c r="A35" s="1" t="s">
        <v>50</v>
      </c>
      <c r="B35" s="10">
        <v>467.64</v>
      </c>
      <c r="C35" s="10">
        <v>469.71</v>
      </c>
      <c r="D35" s="10">
        <v>682.02</v>
      </c>
      <c r="E35" s="10">
        <v>539.07000000000005</v>
      </c>
      <c r="F35" s="10">
        <v>564.91</v>
      </c>
      <c r="G35" s="1"/>
    </row>
    <row r="36" spans="1:7" x14ac:dyDescent="0.35">
      <c r="A36" s="2" t="s">
        <v>51</v>
      </c>
      <c r="B36" s="8">
        <v>72391.8</v>
      </c>
      <c r="C36" s="8">
        <v>59929.19</v>
      </c>
      <c r="D36" s="8">
        <v>57750.95</v>
      </c>
      <c r="E36" s="8">
        <v>55593.43</v>
      </c>
      <c r="F36" s="8">
        <v>55103.88</v>
      </c>
      <c r="G36" s="1"/>
    </row>
  </sheetData>
  <phoneticPr fontId="2" type="noConversion"/>
  <printOptions gridLines="1"/>
  <pageMargins left="0.25" right="0.25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06950-C75B-4EB3-ACEB-6F2837BE9995}">
  <dimension ref="A1:F27"/>
  <sheetViews>
    <sheetView workbookViewId="0">
      <selection activeCell="K5" sqref="K5"/>
    </sheetView>
  </sheetViews>
  <sheetFormatPr defaultRowHeight="14.5" x14ac:dyDescent="0.35"/>
  <cols>
    <col min="1" max="1" width="47.08984375" customWidth="1"/>
  </cols>
  <sheetData>
    <row r="1" spans="1:6" ht="17.5" customHeight="1" x14ac:dyDescent="0.35">
      <c r="A1" s="3" t="s">
        <v>63</v>
      </c>
    </row>
    <row r="2" spans="1:6" x14ac:dyDescent="0.35">
      <c r="A2" s="2" t="s">
        <v>0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</row>
    <row r="3" spans="1:6" x14ac:dyDescent="0.35">
      <c r="A3" s="2" t="s">
        <v>1</v>
      </c>
    </row>
    <row r="4" spans="1:6" x14ac:dyDescent="0.35">
      <c r="A4" s="1" t="s">
        <v>52</v>
      </c>
      <c r="B4">
        <f>_xlfn.XLOOKUP($A4,IS!$A$2:$A$27,IS!B$2:B$27," ",0,1)</f>
        <v>72745.919999999998</v>
      </c>
      <c r="C4">
        <f>_xlfn.XLOOKUP($A4,IS!$A$2:$A$27,IS!C$2:C$27," ",0,1)</f>
        <v>65298.84</v>
      </c>
      <c r="D4">
        <f>_xlfn.XLOOKUP($A4,IS!$A$2:$A$27,IS!D$2:D$27," ",0,1)</f>
        <v>46880.97</v>
      </c>
      <c r="E4">
        <f>_xlfn.XLOOKUP($A4,IS!$A$2:$A$27,IS!E$2:E$27," ",0,1)</f>
        <v>46559.39</v>
      </c>
      <c r="F4">
        <f>_xlfn.XLOOKUP($A4,IS!$A$2:$A$27,IS!F$2:F$27," ",0,1)</f>
        <v>43485.760000000002</v>
      </c>
    </row>
    <row r="5" spans="1:6" x14ac:dyDescent="0.35">
      <c r="A5" s="1" t="s">
        <v>53</v>
      </c>
      <c r="B5">
        <f>_xlfn.XLOOKUP($A5,IS!$A$2:$A$27,IS!B$2:B$27," ",0,1)</f>
        <v>557.16</v>
      </c>
      <c r="C5">
        <f>_xlfn.XLOOKUP($A5,IS!$A$2:$A$27,IS!C$2:C$27," ",0,1)</f>
        <v>458.49</v>
      </c>
      <c r="D5">
        <f>_xlfn.XLOOKUP($A5,IS!$A$2:$A$27,IS!D$2:D$27," ",0,1)</f>
        <v>382.71</v>
      </c>
      <c r="E5">
        <f>_xlfn.XLOOKUP($A5,IS!$A$2:$A$27,IS!E$2:E$27," ",0,1)</f>
        <v>472.08</v>
      </c>
      <c r="F5">
        <f>_xlfn.XLOOKUP($A5,IS!$A$2:$A$27,IS!F$2:F$27," ",0,1)</f>
        <v>442.41</v>
      </c>
    </row>
    <row r="6" spans="1:6" x14ac:dyDescent="0.35">
      <c r="A6" s="2" t="s">
        <v>54</v>
      </c>
      <c r="B6">
        <f>_xlfn.XLOOKUP($A6,IS!$A$2:$A$27,IS!B$2:B$27," ",0,1)</f>
        <v>73303.08</v>
      </c>
      <c r="C6">
        <f>_xlfn.XLOOKUP($A6,IS!$A$2:$A$27,IS!C$2:C$27," ",0,1)</f>
        <v>65757.33</v>
      </c>
      <c r="D6">
        <f>_xlfn.XLOOKUP($A6,IS!$A$2:$A$27,IS!D$2:D$27," ",0,1)</f>
        <v>47263.68</v>
      </c>
      <c r="E6">
        <f>_xlfn.XLOOKUP($A6,IS!$A$2:$A$27,IS!E$2:E$27," ",0,1)</f>
        <v>47031.47</v>
      </c>
      <c r="F6">
        <f>_xlfn.XLOOKUP($A6,IS!$A$2:$A$27,IS!F$2:F$27," ",0,1)</f>
        <v>43928.17</v>
      </c>
    </row>
    <row r="7" spans="1:6" x14ac:dyDescent="0.35">
      <c r="A7" s="2" t="s">
        <v>2</v>
      </c>
      <c r="B7">
        <f>_xlfn.XLOOKUP($A7,IS!$A$2:$A$27,IS!B$2:B$27," ",0,1)</f>
        <v>1149.8800000000001</v>
      </c>
      <c r="C7">
        <f>_xlfn.XLOOKUP($A7,IS!$A$2:$A$27,IS!C$2:C$27," ",0,1)</f>
        <v>820.94</v>
      </c>
      <c r="D7">
        <f>_xlfn.XLOOKUP($A7,IS!$A$2:$A$27,IS!D$2:D$27," ",0,1)</f>
        <v>659.91</v>
      </c>
      <c r="E7">
        <f>_xlfn.XLOOKUP($A7,IS!$A$2:$A$27,IS!E$2:E$27," ",0,1)</f>
        <v>842.96</v>
      </c>
      <c r="F7">
        <f>_xlfn.XLOOKUP($A7,IS!$A$2:$A$27,IS!F$2:F$27," ",0,1)</f>
        <v>1383.05</v>
      </c>
    </row>
    <row r="8" spans="1:6" x14ac:dyDescent="0.35">
      <c r="A8" s="2" t="s">
        <v>15</v>
      </c>
      <c r="B8">
        <f>_xlfn.XLOOKUP($A8,IS!$A$2:$A$27,IS!B$2:B$27," ",0,1)</f>
        <v>74452.960000000006</v>
      </c>
      <c r="C8">
        <f>_xlfn.XLOOKUP($A8,IS!$A$2:$A$27,IS!C$2:C$27," ",0,1)</f>
        <v>66578.27</v>
      </c>
      <c r="D8">
        <f>_xlfn.XLOOKUP($A8,IS!$A$2:$A$27,IS!D$2:D$27," ",0,1)</f>
        <v>47923.59</v>
      </c>
      <c r="E8">
        <f>_xlfn.XLOOKUP($A8,IS!$A$2:$A$27,IS!E$2:E$27," ",0,1)</f>
        <v>47874.43</v>
      </c>
      <c r="F8">
        <f>_xlfn.XLOOKUP($A8,IS!$A$2:$A$27,IS!F$2:F$27," ",0,1)</f>
        <v>45311.22</v>
      </c>
    </row>
    <row r="9" spans="1:6" x14ac:dyDescent="0.35">
      <c r="A9" s="2" t="s">
        <v>3</v>
      </c>
    </row>
    <row r="10" spans="1:6" x14ac:dyDescent="0.35">
      <c r="A10" s="1" t="s">
        <v>4</v>
      </c>
      <c r="B10">
        <f>_xlfn.XLOOKUP($A10,IS!$A$2:$A$27,IS!B$2:B$27," ",0,1)</f>
        <v>46757.279999999999</v>
      </c>
      <c r="C10">
        <f>_xlfn.XLOOKUP($A10,IS!$A$2:$A$27,IS!C$2:C$27," ",0,1)</f>
        <v>42226.81</v>
      </c>
      <c r="D10">
        <f>_xlfn.XLOOKUP($A10,IS!$A$2:$A$27,IS!D$2:D$27," ",0,1)</f>
        <v>31693.11</v>
      </c>
      <c r="E10">
        <f>_xlfn.XLOOKUP($A10,IS!$A$2:$A$27,IS!E$2:E$27," ",0,1)</f>
        <v>28493.119999999999</v>
      </c>
      <c r="F10">
        <f>_xlfn.XLOOKUP($A10,IS!$A$2:$A$27,IS!F$2:F$27," ",0,1)</f>
        <v>26171.85</v>
      </c>
    </row>
    <row r="11" spans="1:6" x14ac:dyDescent="0.35">
      <c r="A11" s="1" t="s">
        <v>5</v>
      </c>
      <c r="B11">
        <f>_xlfn.XLOOKUP($A11,IS!$A$2:$A$27,IS!B$2:B$27," ",0,1)</f>
        <v>6707.03</v>
      </c>
      <c r="C11">
        <f>_xlfn.XLOOKUP($A11,IS!$A$2:$A$27,IS!C$2:C$27," ",0,1)</f>
        <v>6561.32</v>
      </c>
      <c r="D11">
        <f>_xlfn.XLOOKUP($A11,IS!$A$2:$A$27,IS!D$2:D$27," ",0,1)</f>
        <v>5030</v>
      </c>
      <c r="E11">
        <f>_xlfn.XLOOKUP($A11,IS!$A$2:$A$27,IS!E$2:E$27," ",0,1)</f>
        <v>7518.05</v>
      </c>
      <c r="F11">
        <f>_xlfn.XLOOKUP($A11,IS!$A$2:$A$27,IS!F$2:F$27," ",0,1)</f>
        <v>5679.98</v>
      </c>
    </row>
    <row r="12" spans="1:6" x14ac:dyDescent="0.35">
      <c r="A12" s="1" t="s">
        <v>62</v>
      </c>
      <c r="B12">
        <f>_xlfn.XLOOKUP($A12,IS!$A$2:$A$27,IS!B$2:B$27," ",0,1)</f>
        <v>1736.35</v>
      </c>
      <c r="C12">
        <f>_xlfn.XLOOKUP($A12,IS!$A$2:$A$27,IS!C$2:C$27," ",0,1)</f>
        <v>484.69</v>
      </c>
      <c r="D12">
        <f>_xlfn.XLOOKUP($A12,IS!$A$2:$A$27,IS!D$2:D$27," ",0,1)</f>
        <v>-403.87</v>
      </c>
      <c r="E12">
        <f>_xlfn.XLOOKUP($A12,IS!$A$2:$A$27,IS!E$2:E$27," ",0,1)</f>
        <v>-108.48</v>
      </c>
      <c r="F12">
        <f>_xlfn.XLOOKUP($A12,IS!$A$2:$A$27,IS!F$2:F$27," ",0,1)</f>
        <v>722.68</v>
      </c>
    </row>
    <row r="13" spans="1:6" x14ac:dyDescent="0.35">
      <c r="A13" s="1" t="s">
        <v>6</v>
      </c>
      <c r="B13">
        <f>_xlfn.XLOOKUP($A13,IS!$A$2:$A$27,IS!B$2:B$27," ",0,1)</f>
        <v>4308.1499999999996</v>
      </c>
      <c r="C13">
        <f>_xlfn.XLOOKUP($A13,IS!$A$2:$A$27,IS!C$2:C$27," ",0,1)</f>
        <v>4021.63</v>
      </c>
      <c r="D13">
        <f>_xlfn.XLOOKUP($A13,IS!$A$2:$A$27,IS!D$2:D$27," ",0,1)</f>
        <v>3601.51</v>
      </c>
      <c r="E13">
        <f>_xlfn.XLOOKUP($A13,IS!$A$2:$A$27,IS!E$2:E$27," ",0,1)</f>
        <v>3987.72</v>
      </c>
      <c r="F13">
        <f>_xlfn.XLOOKUP($A13,IS!$A$2:$A$27,IS!F$2:F$27," ",0,1)</f>
        <v>4384.3100000000004</v>
      </c>
    </row>
    <row r="14" spans="1:6" x14ac:dyDescent="0.35">
      <c r="A14" s="1" t="s">
        <v>7</v>
      </c>
      <c r="B14">
        <f>_xlfn.XLOOKUP($A14,IS!$A$2:$A$27,IS!B$2:B$27," ",0,1)</f>
        <v>1705.74</v>
      </c>
      <c r="C14">
        <f>_xlfn.XLOOKUP($A14,IS!$A$2:$A$27,IS!C$2:C$27," ",0,1)</f>
        <v>2047.51</v>
      </c>
      <c r="D14">
        <f>_xlfn.XLOOKUP($A14,IS!$A$2:$A$27,IS!D$2:D$27," ",0,1)</f>
        <v>2121.73</v>
      </c>
      <c r="E14">
        <f>_xlfn.XLOOKUP($A14,IS!$A$2:$A$27,IS!E$2:E$27," ",0,1)</f>
        <v>2288.61</v>
      </c>
      <c r="F14">
        <f>_xlfn.XLOOKUP($A14,IS!$A$2:$A$27,IS!F$2:F$27," ",0,1)</f>
        <v>1973</v>
      </c>
    </row>
    <row r="15" spans="1:6" x14ac:dyDescent="0.35">
      <c r="A15" s="1" t="s">
        <v>8</v>
      </c>
      <c r="B15">
        <f>_xlfn.XLOOKUP($A15,IS!$A$2:$A$27,IS!B$2:B$27," ",0,1)</f>
        <v>200.72</v>
      </c>
      <c r="C15">
        <f>_xlfn.XLOOKUP($A15,IS!$A$2:$A$27,IS!C$2:C$27," ",0,1)</f>
        <v>279.76</v>
      </c>
      <c r="D15">
        <f>_xlfn.XLOOKUP($A15,IS!$A$2:$A$27,IS!D$2:D$27," ",0,1)</f>
        <v>136.81</v>
      </c>
      <c r="E15">
        <f>_xlfn.XLOOKUP($A15,IS!$A$2:$A$27,IS!E$2:E$27," ",0,1)</f>
        <v>29.02</v>
      </c>
      <c r="F15">
        <f>_xlfn.XLOOKUP($A15,IS!$A$2:$A$27,IS!F$2:F$27," ",0,1)</f>
        <v>239</v>
      </c>
    </row>
    <row r="16" spans="1:6" x14ac:dyDescent="0.35">
      <c r="A16" s="1" t="s">
        <v>9</v>
      </c>
      <c r="B16">
        <f>_xlfn.XLOOKUP($A16,IS!$A$2:$A$27,IS!B$2:B$27," ",0,1)</f>
        <v>2016.84</v>
      </c>
      <c r="C16">
        <f>_xlfn.XLOOKUP($A16,IS!$A$2:$A$27,IS!C$2:C$27," ",0,1)</f>
        <v>1766.86</v>
      </c>
      <c r="D16">
        <f>_xlfn.XLOOKUP($A16,IS!$A$2:$A$27,IS!D$2:D$27," ",0,1)</f>
        <v>1760.57</v>
      </c>
      <c r="E16">
        <f>_xlfn.XLOOKUP($A16,IS!$A$2:$A$27,IS!E$2:E$27," ",0,1)</f>
        <v>3325.8</v>
      </c>
      <c r="F16">
        <f>_xlfn.XLOOKUP($A16,IS!$A$2:$A$27,IS!F$2:F$27," ",0,1)</f>
        <v>3375.29</v>
      </c>
    </row>
    <row r="17" spans="1:6" x14ac:dyDescent="0.35">
      <c r="A17" s="1" t="s">
        <v>10</v>
      </c>
      <c r="B17">
        <f>_xlfn.XLOOKUP($A17,IS!$A$2:$A$27,IS!B$2:B$27," ",0,1)</f>
        <v>1104.79</v>
      </c>
      <c r="C17">
        <f>_xlfn.XLOOKUP($A17,IS!$A$2:$A$27,IS!C$2:C$27," ",0,1)</f>
        <v>899.06</v>
      </c>
      <c r="D17">
        <f>_xlfn.XLOOKUP($A17,IS!$A$2:$A$27,IS!D$2:D$27," ",0,1)</f>
        <v>593.9</v>
      </c>
      <c r="E17">
        <f>_xlfn.XLOOKUP($A17,IS!$A$2:$A$27,IS!E$2:E$27," ",0,1)</f>
        <v>907.44</v>
      </c>
      <c r="F17">
        <f>_xlfn.XLOOKUP($A17,IS!$A$2:$A$27,IS!F$2:F$27," ",0,1)</f>
        <v>830.24</v>
      </c>
    </row>
    <row r="18" spans="1:6" x14ac:dyDescent="0.35">
      <c r="A18" s="1" t="s">
        <v>11</v>
      </c>
      <c r="B18">
        <f>_xlfn.XLOOKUP($A18,IS!$A$2:$A$27,IS!B$2:B$27," ",0,1)</f>
        <v>7610.15</v>
      </c>
      <c r="C18">
        <f>_xlfn.XLOOKUP($A18,IS!$A$2:$A$27,IS!C$2:C$27," ",0,1)</f>
        <v>7819.74</v>
      </c>
      <c r="D18">
        <f>_xlfn.XLOOKUP($A18,IS!$A$2:$A$27,IS!D$2:D$27," ",0,1)</f>
        <v>6018.71</v>
      </c>
      <c r="E18">
        <f>_xlfn.XLOOKUP($A18,IS!$A$2:$A$27,IS!E$2:E$27," ",0,1)</f>
        <v>5612.48</v>
      </c>
      <c r="F18">
        <f>_xlfn.XLOOKUP($A18,IS!$A$2:$A$27,IS!F$2:F$27," ",0,1)</f>
        <v>7720.75</v>
      </c>
    </row>
    <row r="19" spans="1:6" x14ac:dyDescent="0.35">
      <c r="A19" s="1" t="s">
        <v>12</v>
      </c>
      <c r="B19">
        <f>_xlfn.XLOOKUP($A19,IS!$A$2:$A$27,IS!B$2:B$27," ",0,1)</f>
        <v>-1129.73</v>
      </c>
      <c r="C19">
        <f>_xlfn.XLOOKUP($A19,IS!$A$2:$A$27,IS!C$2:C$27," ",0,1)</f>
        <v>-1066.73</v>
      </c>
      <c r="D19">
        <f>_xlfn.XLOOKUP($A19,IS!$A$2:$A$27,IS!D$2:D$27," ",0,1)</f>
        <v>-905.42</v>
      </c>
      <c r="E19">
        <f>_xlfn.XLOOKUP($A19,IS!$A$2:$A$27,IS!E$2:E$27," ",0,1)</f>
        <v>-817.53</v>
      </c>
      <c r="F19">
        <f>_xlfn.XLOOKUP($A19,IS!$A$2:$A$27,IS!F$2:F$27," ",0,1)</f>
        <v>-1169.46</v>
      </c>
    </row>
    <row r="20" spans="1:6" x14ac:dyDescent="0.35">
      <c r="A20" s="2" t="s">
        <v>13</v>
      </c>
      <c r="B20">
        <f>_xlfn.XLOOKUP($A20,IS!$A$2:$A$27,IS!B$2:B$27," ",0,1)</f>
        <v>69317.320000000007</v>
      </c>
      <c r="C20">
        <f>_xlfn.XLOOKUP($A20,IS!$A$2:$A$27,IS!C$2:C$27," ",0,1)</f>
        <v>65040.65</v>
      </c>
      <c r="D20">
        <f>_xlfn.XLOOKUP($A20,IS!$A$2:$A$27,IS!D$2:D$27," ",0,1)</f>
        <v>49647.05</v>
      </c>
      <c r="E20">
        <f>_xlfn.XLOOKUP($A20,IS!$A$2:$A$27,IS!E$2:E$27," ",0,1)</f>
        <v>51239.38</v>
      </c>
      <c r="F20">
        <f>_xlfn.XLOOKUP($A20,IS!$A$2:$A$27,IS!F$2:F$27," ",0,1)</f>
        <v>49927.64</v>
      </c>
    </row>
    <row r="21" spans="1:6" x14ac:dyDescent="0.35">
      <c r="A21" s="2" t="s">
        <v>55</v>
      </c>
      <c r="B21">
        <f>_xlfn.XLOOKUP($A21,IS!$A$2:$A$27,IS!B$2:B$27," ",0,1)</f>
        <v>5135.6400000000003</v>
      </c>
      <c r="C21">
        <f>_xlfn.XLOOKUP($A21,IS!$A$2:$A$27,IS!C$2:C$27," ",0,1)</f>
        <v>1537.62</v>
      </c>
      <c r="D21">
        <f>_xlfn.XLOOKUP($A21,IS!$A$2:$A$27,IS!D$2:D$27," ",0,1)</f>
        <v>-1723.46</v>
      </c>
      <c r="E21">
        <f>_xlfn.XLOOKUP($A21,IS!$A$2:$A$27,IS!E$2:E$27," ",0,1)</f>
        <v>-3364.95</v>
      </c>
      <c r="F21">
        <f>_xlfn.XLOOKUP($A21,IS!$A$2:$A$27,IS!F$2:F$27," ",0,1)</f>
        <v>-4616.42</v>
      </c>
    </row>
    <row r="22" spans="1:6" x14ac:dyDescent="0.35">
      <c r="A22" s="1" t="s">
        <v>18</v>
      </c>
      <c r="B22">
        <f>_xlfn.XLOOKUP($A22,IS!$A$2:$A$27,IS!B$2:B$27," ",0,1)</f>
        <v>-2808.41</v>
      </c>
      <c r="C22">
        <f>_xlfn.XLOOKUP($A22,IS!$A$2:$A$27,IS!C$2:C$27," ",0,1)</f>
        <v>282.82</v>
      </c>
      <c r="D22">
        <f>_xlfn.XLOOKUP($A22,IS!$A$2:$A$27,IS!D$2:D$27," ",0,1)</f>
        <v>-83.41</v>
      </c>
      <c r="E22">
        <f>_xlfn.XLOOKUP($A22,IS!$A$2:$A$27,IS!E$2:E$27," ",0,1)</f>
        <v>-37.85</v>
      </c>
      <c r="F22">
        <f>_xlfn.XLOOKUP($A22,IS!$A$2:$A$27,IS!F$2:F$27," ",0,1)</f>
        <v>2510.92</v>
      </c>
    </row>
    <row r="23" spans="1:6" x14ac:dyDescent="0.35">
      <c r="A23" s="2" t="s">
        <v>56</v>
      </c>
      <c r="B23">
        <f>_xlfn.XLOOKUP($A23,IS!$A$2:$A$27,IS!B$2:B$27," ",0,1)</f>
        <v>7850.82</v>
      </c>
      <c r="C23">
        <f>_xlfn.XLOOKUP($A23,IS!$A$2:$A$27,IS!C$2:C$27," ",0,1)</f>
        <v>1254.8</v>
      </c>
      <c r="D23">
        <f>_xlfn.XLOOKUP($A23,IS!$A$2:$A$27,IS!D$2:D$27," ",0,1)</f>
        <v>-1247.54</v>
      </c>
      <c r="E23">
        <f>_xlfn.XLOOKUP($A23,IS!$A$2:$A$27,IS!E$2:E$27," ",0,1)</f>
        <v>-2350.42</v>
      </c>
      <c r="F23">
        <f>_xlfn.XLOOKUP($A23,IS!$A$2:$A$27,IS!F$2:F$27," ",0,1)</f>
        <v>-7127.34</v>
      </c>
    </row>
    <row r="24" spans="1:6" x14ac:dyDescent="0.35">
      <c r="A24" s="1" t="s">
        <v>14</v>
      </c>
      <c r="B24">
        <f>_xlfn.XLOOKUP($A24,IS!$A$2:$A$27,IS!B$2:B$27," ",0,1)</f>
        <v>-51.26</v>
      </c>
      <c r="C24">
        <f>_xlfn.XLOOKUP($A24,IS!$A$2:$A$27,IS!C$2:C$27," ",0,1)</f>
        <v>-1473.33</v>
      </c>
      <c r="D24">
        <f>_xlfn.XLOOKUP($A24,IS!$A$2:$A$27,IS!D$2:D$27," ",0,1)</f>
        <v>143.32</v>
      </c>
      <c r="E24">
        <f>_xlfn.XLOOKUP($A24,IS!$A$2:$A$27,IS!E$2:E$27," ",0,1)</f>
        <v>82.87</v>
      </c>
      <c r="F24">
        <f>_xlfn.XLOOKUP($A24,IS!$A$2:$A$27,IS!F$2:F$27," ",0,1)</f>
        <v>162.29</v>
      </c>
    </row>
    <row r="25" spans="1:6" x14ac:dyDescent="0.35">
      <c r="A25" s="2" t="s">
        <v>19</v>
      </c>
      <c r="B25">
        <f>_xlfn.XLOOKUP($A25,IS!$A$2:$A$27,IS!B$2:B$27," ",0,1)</f>
        <v>7902.08</v>
      </c>
      <c r="C25">
        <f>_xlfn.XLOOKUP($A25,IS!$A$2:$A$27,IS!C$2:C$27," ",0,1)</f>
        <v>2728.13</v>
      </c>
      <c r="D25">
        <f>_xlfn.XLOOKUP($A25,IS!$A$2:$A$27,IS!D$2:D$27," ",0,1)</f>
        <v>-1390.86</v>
      </c>
      <c r="E25">
        <f>_xlfn.XLOOKUP($A25,IS!$A$2:$A$27,IS!E$2:E$27," ",0,1)</f>
        <v>-2395.44</v>
      </c>
      <c r="F25">
        <f>_xlfn.XLOOKUP($A25,IS!$A$2:$A$27,IS!F$2:F$27," ",0,1)</f>
        <v>-7289.63</v>
      </c>
    </row>
    <row r="26" spans="1:6" x14ac:dyDescent="0.35">
      <c r="A26" s="1" t="s">
        <v>16</v>
      </c>
      <c r="B26">
        <f>_xlfn.XLOOKUP($A26,IS!$A$2:$A$27,IS!B$2:B$27," ",0,1)</f>
        <v>436.56</v>
      </c>
      <c r="C26">
        <f>_xlfn.XLOOKUP($A26,IS!$A$2:$A$27,IS!C$2:C$27," ",0,1)</f>
        <v>-276.49</v>
      </c>
      <c r="D26">
        <f>_xlfn.XLOOKUP($A26,IS!$A$2:$A$27,IS!D$2:D$27," ",0,1)</f>
        <v>123.68</v>
      </c>
      <c r="E26">
        <f>_xlfn.XLOOKUP($A26,IS!$A$2:$A$27,IS!E$2:E$27," ",0,1)</f>
        <v>442.99</v>
      </c>
      <c r="F26">
        <f>_xlfn.XLOOKUP($A26,IS!$A$2:$A$27,IS!F$2:F$27," ",0,1)</f>
        <v>-378.72</v>
      </c>
    </row>
    <row r="27" spans="1:6" x14ac:dyDescent="0.35">
      <c r="A27" s="2" t="s">
        <v>17</v>
      </c>
      <c r="B27">
        <f>_xlfn.XLOOKUP($A27,IS!$A$2:$A$27,IS!B$2:B$27," ",0,1)</f>
        <v>8338.64</v>
      </c>
      <c r="C27">
        <f>_xlfn.XLOOKUP($A27,IS!$A$2:$A$27,IS!C$2:C$27," ",0,1)</f>
        <v>2451.64</v>
      </c>
      <c r="D27">
        <f>_xlfn.XLOOKUP($A27,IS!$A$2:$A$27,IS!D$2:D$27," ",0,1)</f>
        <v>-1267.18</v>
      </c>
      <c r="E27">
        <f>_xlfn.XLOOKUP($A27,IS!$A$2:$A$27,IS!E$2:E$27," ",0,1)</f>
        <v>-1952.45</v>
      </c>
      <c r="F27">
        <f>_xlfn.XLOOKUP($A27,IS!$A$2:$A$27,IS!F$2:F$27," ",0,1)</f>
        <v>-7668.35</v>
      </c>
    </row>
  </sheetData>
  <sheetProtection algorithmName="SHA-512" hashValue="HaPVsspiZo4ctnN7Ljfeha+nafgnqmdvT7cQ/vlxClFMXm+0YlFfddwQU2BQ2VVOayymNxwNtM9H4n8L2LU/sw==" saltValue="O5YzcLVp1rwILCsiaJyb7g==" spinCount="100000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F9555-E7C4-47EE-878B-C423F776F06F}">
  <dimension ref="A1:F27"/>
  <sheetViews>
    <sheetView workbookViewId="0">
      <selection activeCell="H10" sqref="A1:XFD1048576"/>
    </sheetView>
  </sheetViews>
  <sheetFormatPr defaultRowHeight="14.5" x14ac:dyDescent="0.35"/>
  <cols>
    <col min="1" max="1" width="47.08984375" customWidth="1"/>
    <col min="2" max="2" width="11" customWidth="1"/>
    <col min="3" max="3" width="10.453125" customWidth="1"/>
    <col min="4" max="4" width="9.90625" customWidth="1"/>
    <col min="5" max="5" width="10.453125" customWidth="1"/>
  </cols>
  <sheetData>
    <row r="1" spans="1:6" ht="17.5" customHeight="1" x14ac:dyDescent="0.35">
      <c r="A1" s="3" t="s">
        <v>63</v>
      </c>
    </row>
    <row r="2" spans="1:6" x14ac:dyDescent="0.35">
      <c r="A2" s="2" t="s">
        <v>0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</row>
    <row r="3" spans="1:6" x14ac:dyDescent="0.35">
      <c r="A3" s="2" t="s">
        <v>1</v>
      </c>
    </row>
    <row r="4" spans="1:6" x14ac:dyDescent="0.35">
      <c r="A4" s="1" t="s">
        <v>52</v>
      </c>
      <c r="B4" s="11">
        <f>IFERROR((_xlfn.XLOOKUP($A4,IS!$A$2:$A$27,IS!B$2:B$27," ",0,1)/_xlfn.XLOOKUP($A4,IS!$A$2:$A$27,IS!C$2:C$27," ",0,1))-1,"")</f>
        <v>0.11404613006907938</v>
      </c>
      <c r="C4" s="11">
        <f>IFERROR((_xlfn.XLOOKUP($A4,IS!$A$2:$A$27,IS!C$2:C$27," ",0,1)/_xlfn.XLOOKUP($A4,IS!$A$2:$A$27,IS!D$2:D$27," ",0,1))-1,"")</f>
        <v>0.3928645247741247</v>
      </c>
      <c r="D4" s="11">
        <f>IFERROR((_xlfn.XLOOKUP($A4,IS!$A$2:$A$27,IS!D$2:D$27," ",0,1)/_xlfn.XLOOKUP($A4,IS!$A$2:$A$27,IS!E$2:E$27," ",0,1))-1,"")</f>
        <v>6.9068774311691339E-3</v>
      </c>
      <c r="E4" s="11">
        <f>IFERROR((_xlfn.XLOOKUP($A4,IS!$A$2:$A$27,IS!E$2:E$27," ",0,1)/_xlfn.XLOOKUP($A4,IS!$A$2:$A$27,IS!F$2:F$27," ",0,1))-1,"")</f>
        <v>7.0681298889567534E-2</v>
      </c>
    </row>
    <row r="5" spans="1:6" x14ac:dyDescent="0.35">
      <c r="A5" s="1" t="s">
        <v>53</v>
      </c>
      <c r="B5" s="11">
        <f>IFERROR((_xlfn.XLOOKUP($A5,IS!$A$2:$A$27,IS!B$2:B$27," ",0,1)/_xlfn.XLOOKUP($A5,IS!$A$2:$A$27,IS!C$2:C$27," ",0,1))-1,"")</f>
        <v>0.21520643852646715</v>
      </c>
      <c r="C5" s="11">
        <f>IFERROR((_xlfn.XLOOKUP($A5,IS!$A$2:$A$27,IS!C$2:C$27," ",0,1)/_xlfn.XLOOKUP($A5,IS!$A$2:$A$27,IS!D$2:D$27," ",0,1))-1,"")</f>
        <v>0.19800893627028304</v>
      </c>
      <c r="D5" s="11">
        <f>IFERROR((_xlfn.XLOOKUP($A5,IS!$A$2:$A$27,IS!D$2:D$27," ",0,1)/_xlfn.XLOOKUP($A5,IS!$A$2:$A$27,IS!E$2:E$27," ",0,1))-1,"")</f>
        <v>-0.18931113370615149</v>
      </c>
      <c r="E5" s="11">
        <f>IFERROR((_xlfn.XLOOKUP($A5,IS!$A$2:$A$27,IS!E$2:E$27," ",0,1)/_xlfn.XLOOKUP($A5,IS!$A$2:$A$27,IS!F$2:F$27," ",0,1))-1,"")</f>
        <v>6.7064487692412023E-2</v>
      </c>
    </row>
    <row r="6" spans="1:6" x14ac:dyDescent="0.35">
      <c r="A6" s="2" t="s">
        <v>54</v>
      </c>
      <c r="B6" s="11">
        <f>IFERROR((_xlfn.XLOOKUP($A6,IS!$A$2:$A$27,IS!B$2:B$27," ",0,1)/_xlfn.XLOOKUP($A6,IS!$A$2:$A$27,IS!C$2:C$27," ",0,1))-1,"")</f>
        <v>0.11475146573013228</v>
      </c>
      <c r="C6" s="11">
        <f>IFERROR((_xlfn.XLOOKUP($A6,IS!$A$2:$A$27,IS!C$2:C$27," ",0,1)/_xlfn.XLOOKUP($A6,IS!$A$2:$A$27,IS!D$2:D$27," ",0,1))-1,"")</f>
        <v>0.39128671318018404</v>
      </c>
      <c r="D6" s="11">
        <f>IFERROR((_xlfn.XLOOKUP($A6,IS!$A$2:$A$27,IS!D$2:D$27," ",0,1)/_xlfn.XLOOKUP($A6,IS!$A$2:$A$27,IS!E$2:E$27," ",0,1))-1,"")</f>
        <v>4.9373323861661156E-3</v>
      </c>
      <c r="E6" s="11">
        <f>IFERROR((_xlfn.XLOOKUP($A6,IS!$A$2:$A$27,IS!E$2:E$27," ",0,1)/_xlfn.XLOOKUP($A6,IS!$A$2:$A$27,IS!F$2:F$27," ",0,1))-1,"")</f>
        <v>7.0644873210060855E-2</v>
      </c>
    </row>
    <row r="7" spans="1:6" x14ac:dyDescent="0.35">
      <c r="A7" s="2" t="s">
        <v>2</v>
      </c>
      <c r="B7" s="11">
        <f>IFERROR((_xlfn.XLOOKUP($A7,IS!$A$2:$A$27,IS!B$2:B$27," ",0,1)/_xlfn.XLOOKUP($A7,IS!$A$2:$A$27,IS!C$2:C$27," ",0,1))-1,"")</f>
        <v>0.40068701732160705</v>
      </c>
      <c r="C7" s="11">
        <f>IFERROR((_xlfn.XLOOKUP($A7,IS!$A$2:$A$27,IS!C$2:C$27," ",0,1)/_xlfn.XLOOKUP($A7,IS!$A$2:$A$27,IS!D$2:D$27," ",0,1))-1,"")</f>
        <v>0.24401812368353282</v>
      </c>
      <c r="D7" s="11">
        <f>IFERROR((_xlfn.XLOOKUP($A7,IS!$A$2:$A$27,IS!D$2:D$27," ",0,1)/_xlfn.XLOOKUP($A7,IS!$A$2:$A$27,IS!E$2:E$27," ",0,1))-1,"")</f>
        <v>-0.21715146626174442</v>
      </c>
      <c r="E7" s="11">
        <f>IFERROR((_xlfn.XLOOKUP($A7,IS!$A$2:$A$27,IS!E$2:E$27," ",0,1)/_xlfn.XLOOKUP($A7,IS!$A$2:$A$27,IS!F$2:F$27," ",0,1))-1,"")</f>
        <v>-0.39050648928093701</v>
      </c>
    </row>
    <row r="8" spans="1:6" x14ac:dyDescent="0.35">
      <c r="A8" s="2" t="s">
        <v>15</v>
      </c>
      <c r="B8" s="11">
        <f>IFERROR((_xlfn.XLOOKUP($A8,IS!$A$2:$A$27,IS!B$2:B$27," ",0,1)/_xlfn.XLOOKUP($A8,IS!$A$2:$A$27,IS!C$2:C$27," ",0,1))-1,"")</f>
        <v>0.11827717962632556</v>
      </c>
      <c r="C8" s="11">
        <f>IFERROR((_xlfn.XLOOKUP($A8,IS!$A$2:$A$27,IS!C$2:C$27," ",0,1)/_xlfn.XLOOKUP($A8,IS!$A$2:$A$27,IS!D$2:D$27," ",0,1))-1,"")</f>
        <v>0.38925881804764639</v>
      </c>
      <c r="D8" s="11">
        <f>IFERROR((_xlfn.XLOOKUP($A8,IS!$A$2:$A$27,IS!D$2:D$27," ",0,1)/_xlfn.XLOOKUP($A8,IS!$A$2:$A$27,IS!E$2:E$27," ",0,1))-1,"")</f>
        <v>1.026852956787172E-3</v>
      </c>
      <c r="E8" s="11">
        <f>IFERROR((_xlfn.XLOOKUP($A8,IS!$A$2:$A$27,IS!E$2:E$27," ",0,1)/_xlfn.XLOOKUP($A8,IS!$A$2:$A$27,IS!F$2:F$27," ",0,1))-1,"")</f>
        <v>5.6568991079913422E-2</v>
      </c>
    </row>
    <row r="9" spans="1:6" x14ac:dyDescent="0.35">
      <c r="A9" s="2" t="s">
        <v>3</v>
      </c>
      <c r="B9" s="11" t="str">
        <f>IFERROR((_xlfn.XLOOKUP($A9,IS!$A$2:$A$27,IS!B$2:B$27," ",0,1)/_xlfn.XLOOKUP($A9,IS!$A$2:$A$27,IS!C$2:C$27," ",0,1))-1,"")</f>
        <v/>
      </c>
      <c r="C9" s="11" t="str">
        <f>IFERROR((_xlfn.XLOOKUP($A9,IS!$A$2:$A$27,IS!C$2:C$27," ",0,1)/_xlfn.XLOOKUP($A9,IS!$A$2:$A$27,IS!D$2:D$27," ",0,1))-1,"")</f>
        <v/>
      </c>
      <c r="D9" s="11" t="str">
        <f>IFERROR((_xlfn.XLOOKUP($A9,IS!$A$2:$A$27,IS!D$2:D$27," ",0,1)/_xlfn.XLOOKUP($A9,IS!$A$2:$A$27,IS!E$2:E$27," ",0,1))-1,"")</f>
        <v/>
      </c>
      <c r="E9" s="11" t="str">
        <f>IFERROR((_xlfn.XLOOKUP($A9,IS!$A$2:$A$27,IS!E$2:E$27," ",0,1)/_xlfn.XLOOKUP($A9,IS!$A$2:$A$27,IS!F$2:F$27," ",0,1))-1,"")</f>
        <v/>
      </c>
    </row>
    <row r="10" spans="1:6" x14ac:dyDescent="0.35">
      <c r="A10" s="1" t="s">
        <v>4</v>
      </c>
      <c r="B10" s="11">
        <f>IFERROR((_xlfn.XLOOKUP($A10,IS!$A$2:$A$27,IS!B$2:B$27," ",0,1)/_xlfn.XLOOKUP($A10,IS!$A$2:$A$27,IS!C$2:C$27," ",0,1))-1,"")</f>
        <v>0.10728894747199713</v>
      </c>
      <c r="C10" s="11">
        <f>IFERROR((_xlfn.XLOOKUP($A10,IS!$A$2:$A$27,IS!C$2:C$27," ",0,1)/_xlfn.XLOOKUP($A10,IS!$A$2:$A$27,IS!D$2:D$27," ",0,1))-1,"")</f>
        <v>0.33236561511319018</v>
      </c>
      <c r="D10" s="11">
        <f>IFERROR((_xlfn.XLOOKUP($A10,IS!$A$2:$A$27,IS!D$2:D$27," ",0,1)/_xlfn.XLOOKUP($A10,IS!$A$2:$A$27,IS!E$2:E$27," ",0,1))-1,"")</f>
        <v>0.11230746229265165</v>
      </c>
      <c r="E10" s="11">
        <f>IFERROR((_xlfn.XLOOKUP($A10,IS!$A$2:$A$27,IS!E$2:E$27," ",0,1)/_xlfn.XLOOKUP($A10,IS!$A$2:$A$27,IS!F$2:F$27," ",0,1))-1,"")</f>
        <v>8.8693386214578007E-2</v>
      </c>
    </row>
    <row r="11" spans="1:6" x14ac:dyDescent="0.35">
      <c r="A11" s="1" t="s">
        <v>5</v>
      </c>
      <c r="B11" s="11">
        <f>IFERROR((_xlfn.XLOOKUP($A11,IS!$A$2:$A$27,IS!B$2:B$27," ",0,1)/_xlfn.XLOOKUP($A11,IS!$A$2:$A$27,IS!C$2:C$27," ",0,1))-1,"")</f>
        <v>2.2207421677345351E-2</v>
      </c>
      <c r="C11" s="11">
        <f>IFERROR((_xlfn.XLOOKUP($A11,IS!$A$2:$A$27,IS!C$2:C$27," ",0,1)/_xlfn.XLOOKUP($A11,IS!$A$2:$A$27,IS!D$2:D$27," ",0,1))-1,"")</f>
        <v>0.30443737574552676</v>
      </c>
      <c r="D11" s="11">
        <f>IFERROR((_xlfn.XLOOKUP($A11,IS!$A$2:$A$27,IS!D$2:D$27," ",0,1)/_xlfn.XLOOKUP($A11,IS!$A$2:$A$27,IS!E$2:E$27," ",0,1))-1,"")</f>
        <v>-0.33094352923963</v>
      </c>
      <c r="E11" s="11">
        <f>IFERROR((_xlfn.XLOOKUP($A11,IS!$A$2:$A$27,IS!E$2:E$27," ",0,1)/_xlfn.XLOOKUP($A11,IS!$A$2:$A$27,IS!F$2:F$27," ",0,1))-1,"")</f>
        <v>0.32360501269370689</v>
      </c>
    </row>
    <row r="12" spans="1:6" x14ac:dyDescent="0.35">
      <c r="A12" s="1" t="s">
        <v>62</v>
      </c>
      <c r="B12" s="11">
        <f>IFERROR((_xlfn.XLOOKUP($A12,IS!$A$2:$A$27,IS!B$2:B$27," ",0,1)/_xlfn.XLOOKUP($A12,IS!$A$2:$A$27,IS!C$2:C$27," ",0,1))-1,"")</f>
        <v>2.5823928696692731</v>
      </c>
      <c r="C12" s="11">
        <f>IFERROR((_xlfn.XLOOKUP($A12,IS!$A$2:$A$27,IS!C$2:C$27," ",0,1)/_xlfn.XLOOKUP($A12,IS!$A$2:$A$27,IS!D$2:D$27," ",0,1))-1,"")</f>
        <v>-2.2001138980364967</v>
      </c>
      <c r="D12" s="11">
        <f>IFERROR((_xlfn.XLOOKUP($A12,IS!$A$2:$A$27,IS!D$2:D$27," ",0,1)/_xlfn.XLOOKUP($A12,IS!$A$2:$A$27,IS!E$2:E$27," ",0,1))-1,"")</f>
        <v>2.722990412979351</v>
      </c>
      <c r="E12" s="11">
        <f>IFERROR((_xlfn.XLOOKUP($A12,IS!$A$2:$A$27,IS!E$2:E$27," ",0,1)/_xlfn.XLOOKUP($A12,IS!$A$2:$A$27,IS!F$2:F$27," ",0,1))-1,"")</f>
        <v>-1.1501079315879781</v>
      </c>
    </row>
    <row r="13" spans="1:6" x14ac:dyDescent="0.35">
      <c r="A13" s="1" t="s">
        <v>6</v>
      </c>
      <c r="B13" s="11">
        <f>IFERROR((_xlfn.XLOOKUP($A13,IS!$A$2:$A$27,IS!B$2:B$27," ",0,1)/_xlfn.XLOOKUP($A13,IS!$A$2:$A$27,IS!C$2:C$27," ",0,1))-1,"")</f>
        <v>7.1244744046567998E-2</v>
      </c>
      <c r="C13" s="11">
        <f>IFERROR((_xlfn.XLOOKUP($A13,IS!$A$2:$A$27,IS!C$2:C$27," ",0,1)/_xlfn.XLOOKUP($A13,IS!$A$2:$A$27,IS!D$2:D$27," ",0,1))-1,"")</f>
        <v>0.11665107135618102</v>
      </c>
      <c r="D13" s="11">
        <f>IFERROR((_xlfn.XLOOKUP($A13,IS!$A$2:$A$27,IS!D$2:D$27," ",0,1)/_xlfn.XLOOKUP($A13,IS!$A$2:$A$27,IS!E$2:E$27," ",0,1))-1,"")</f>
        <v>-9.6849828974952978E-2</v>
      </c>
      <c r="E13" s="11">
        <f>IFERROR((_xlfn.XLOOKUP($A13,IS!$A$2:$A$27,IS!E$2:E$27," ",0,1)/_xlfn.XLOOKUP($A13,IS!$A$2:$A$27,IS!F$2:F$27," ",0,1))-1,"")</f>
        <v>-9.0456651103594576E-2</v>
      </c>
    </row>
    <row r="14" spans="1:6" x14ac:dyDescent="0.35">
      <c r="A14" s="1" t="s">
        <v>7</v>
      </c>
      <c r="B14" s="11">
        <f>IFERROR((_xlfn.XLOOKUP($A14,IS!$A$2:$A$27,IS!B$2:B$27," ",0,1)/_xlfn.XLOOKUP($A14,IS!$A$2:$A$27,IS!C$2:C$27," ",0,1))-1,"")</f>
        <v>-0.16691981968342029</v>
      </c>
      <c r="C14" s="11">
        <f>IFERROR((_xlfn.XLOOKUP($A14,IS!$A$2:$A$27,IS!C$2:C$27," ",0,1)/_xlfn.XLOOKUP($A14,IS!$A$2:$A$27,IS!D$2:D$27," ",0,1))-1,"")</f>
        <v>-3.4980888237428953E-2</v>
      </c>
      <c r="D14" s="11">
        <f>IFERROR((_xlfn.XLOOKUP($A14,IS!$A$2:$A$27,IS!D$2:D$27," ",0,1)/_xlfn.XLOOKUP($A14,IS!$A$2:$A$27,IS!E$2:E$27," ",0,1))-1,"")</f>
        <v>-7.2917622487011835E-2</v>
      </c>
      <c r="E14" s="11">
        <f>IFERROR((_xlfn.XLOOKUP($A14,IS!$A$2:$A$27,IS!E$2:E$27," ",0,1)/_xlfn.XLOOKUP($A14,IS!$A$2:$A$27,IS!F$2:F$27," ",0,1))-1,"")</f>
        <v>0.15996452103395842</v>
      </c>
    </row>
    <row r="15" spans="1:6" x14ac:dyDescent="0.35">
      <c r="A15" s="1" t="s">
        <v>8</v>
      </c>
      <c r="B15" s="11">
        <f>IFERROR((_xlfn.XLOOKUP($A15,IS!$A$2:$A$27,IS!B$2:B$27," ",0,1)/_xlfn.XLOOKUP($A15,IS!$A$2:$A$27,IS!C$2:C$27," ",0,1))-1,"")</f>
        <v>-0.28252788104089221</v>
      </c>
      <c r="C15" s="11">
        <f>IFERROR((_xlfn.XLOOKUP($A15,IS!$A$2:$A$27,IS!C$2:C$27," ",0,1)/_xlfn.XLOOKUP($A15,IS!$A$2:$A$27,IS!D$2:D$27," ",0,1))-1,"")</f>
        <v>1.0448797602514435</v>
      </c>
      <c r="D15" s="11">
        <f>IFERROR((_xlfn.XLOOKUP($A15,IS!$A$2:$A$27,IS!D$2:D$27," ",0,1)/_xlfn.XLOOKUP($A15,IS!$A$2:$A$27,IS!E$2:E$27," ",0,1))-1,"")</f>
        <v>3.7143349414197111</v>
      </c>
      <c r="E15" s="11">
        <f>IFERROR((_xlfn.XLOOKUP($A15,IS!$A$2:$A$27,IS!E$2:E$27," ",0,1)/_xlfn.XLOOKUP($A15,IS!$A$2:$A$27,IS!F$2:F$27," ",0,1))-1,"")</f>
        <v>-0.87857740585774058</v>
      </c>
    </row>
    <row r="16" spans="1:6" x14ac:dyDescent="0.35">
      <c r="A16" s="1" t="s">
        <v>9</v>
      </c>
      <c r="B16" s="11">
        <f>IFERROR((_xlfn.XLOOKUP($A16,IS!$A$2:$A$27,IS!B$2:B$27," ",0,1)/_xlfn.XLOOKUP($A16,IS!$A$2:$A$27,IS!C$2:C$27," ",0,1))-1,"")</f>
        <v>0.14148263020273255</v>
      </c>
      <c r="C16" s="11">
        <f>IFERROR((_xlfn.XLOOKUP($A16,IS!$A$2:$A$27,IS!C$2:C$27," ",0,1)/_xlfn.XLOOKUP($A16,IS!$A$2:$A$27,IS!D$2:D$27," ",0,1))-1,"")</f>
        <v>3.5727065666233404E-3</v>
      </c>
      <c r="D16" s="11">
        <f>IFERROR((_xlfn.XLOOKUP($A16,IS!$A$2:$A$27,IS!D$2:D$27," ",0,1)/_xlfn.XLOOKUP($A16,IS!$A$2:$A$27,IS!E$2:E$27," ",0,1))-1,"")</f>
        <v>-0.47063262974321973</v>
      </c>
      <c r="E16" s="11">
        <f>IFERROR((_xlfn.XLOOKUP($A16,IS!$A$2:$A$27,IS!E$2:E$27," ",0,1)/_xlfn.XLOOKUP($A16,IS!$A$2:$A$27,IS!F$2:F$27," ",0,1))-1,"")</f>
        <v>-1.4662443819642101E-2</v>
      </c>
    </row>
    <row r="17" spans="1:5" x14ac:dyDescent="0.35">
      <c r="A17" s="1" t="s">
        <v>10</v>
      </c>
      <c r="B17" s="11">
        <f>IFERROR((_xlfn.XLOOKUP($A17,IS!$A$2:$A$27,IS!B$2:B$27," ",0,1)/_xlfn.XLOOKUP($A17,IS!$A$2:$A$27,IS!C$2:C$27," ",0,1))-1,"")</f>
        <v>0.22882788690409983</v>
      </c>
      <c r="C17" s="11">
        <f>IFERROR((_xlfn.XLOOKUP($A17,IS!$A$2:$A$27,IS!C$2:C$27," ",0,1)/_xlfn.XLOOKUP($A17,IS!$A$2:$A$27,IS!D$2:D$27," ",0,1))-1,"")</f>
        <v>0.51382387607341307</v>
      </c>
      <c r="D17" s="11">
        <f>IFERROR((_xlfn.XLOOKUP($A17,IS!$A$2:$A$27,IS!D$2:D$27," ",0,1)/_xlfn.XLOOKUP($A17,IS!$A$2:$A$27,IS!E$2:E$27," ",0,1))-1,"")</f>
        <v>-0.34552146698404307</v>
      </c>
      <c r="E17" s="11">
        <f>IFERROR((_xlfn.XLOOKUP($A17,IS!$A$2:$A$27,IS!E$2:E$27," ",0,1)/_xlfn.XLOOKUP($A17,IS!$A$2:$A$27,IS!F$2:F$27," ",0,1))-1,"")</f>
        <v>9.2985160917325116E-2</v>
      </c>
    </row>
    <row r="18" spans="1:5" x14ac:dyDescent="0.35">
      <c r="A18" s="1" t="s">
        <v>11</v>
      </c>
      <c r="B18" s="11">
        <f>IFERROR((_xlfn.XLOOKUP($A18,IS!$A$2:$A$27,IS!B$2:B$27," ",0,1)/_xlfn.XLOOKUP($A18,IS!$A$2:$A$27,IS!C$2:C$27," ",0,1))-1,"")</f>
        <v>-2.680268141907538E-2</v>
      </c>
      <c r="C18" s="11">
        <f>IFERROR((_xlfn.XLOOKUP($A18,IS!$A$2:$A$27,IS!C$2:C$27," ",0,1)/_xlfn.XLOOKUP($A18,IS!$A$2:$A$27,IS!D$2:D$27," ",0,1))-1,"")</f>
        <v>0.29923854114918313</v>
      </c>
      <c r="D18" s="11">
        <f>IFERROR((_xlfn.XLOOKUP($A18,IS!$A$2:$A$27,IS!D$2:D$27," ",0,1)/_xlfn.XLOOKUP($A18,IS!$A$2:$A$27,IS!E$2:E$27," ",0,1))-1,"")</f>
        <v>7.2379767945720985E-2</v>
      </c>
      <c r="E18" s="11">
        <f>IFERROR((_xlfn.XLOOKUP($A18,IS!$A$2:$A$27,IS!E$2:E$27," ",0,1)/_xlfn.XLOOKUP($A18,IS!$A$2:$A$27,IS!F$2:F$27," ",0,1))-1,"")</f>
        <v>-0.27306544053362702</v>
      </c>
    </row>
    <row r="19" spans="1:5" x14ac:dyDescent="0.35">
      <c r="A19" s="1" t="s">
        <v>12</v>
      </c>
      <c r="B19" s="11">
        <f>IFERROR((_xlfn.XLOOKUP($A19,IS!$A$2:$A$27,IS!B$2:B$27," ",0,1)/_xlfn.XLOOKUP($A19,IS!$A$2:$A$27,IS!C$2:C$27," ",0,1))-1,"")</f>
        <v>5.9058993372268498E-2</v>
      </c>
      <c r="C19" s="11">
        <f>IFERROR((_xlfn.XLOOKUP($A19,IS!$A$2:$A$27,IS!C$2:C$27," ",0,1)/_xlfn.XLOOKUP($A19,IS!$A$2:$A$27,IS!D$2:D$27," ",0,1))-1,"")</f>
        <v>0.17816041174261676</v>
      </c>
      <c r="D19" s="11">
        <f>IFERROR((_xlfn.XLOOKUP($A19,IS!$A$2:$A$27,IS!D$2:D$27," ",0,1)/_xlfn.XLOOKUP($A19,IS!$A$2:$A$27,IS!E$2:E$27," ",0,1))-1,"")</f>
        <v>0.1075067581617799</v>
      </c>
      <c r="E19" s="11">
        <f>IFERROR((_xlfn.XLOOKUP($A19,IS!$A$2:$A$27,IS!E$2:E$27," ",0,1)/_xlfn.XLOOKUP($A19,IS!$A$2:$A$27,IS!F$2:F$27," ",0,1))-1,"")</f>
        <v>-0.30093376430147256</v>
      </c>
    </row>
    <row r="20" spans="1:5" x14ac:dyDescent="0.35">
      <c r="A20" s="2" t="s">
        <v>13</v>
      </c>
      <c r="B20" s="11">
        <f>IFERROR((_xlfn.XLOOKUP($A20,IS!$A$2:$A$27,IS!B$2:B$27," ",0,1)/_xlfn.XLOOKUP($A20,IS!$A$2:$A$27,IS!C$2:C$27," ",0,1))-1,"")</f>
        <v>6.5753801660961342E-2</v>
      </c>
      <c r="C20" s="11">
        <f>IFERROR((_xlfn.XLOOKUP($A20,IS!$A$2:$A$27,IS!C$2:C$27," ",0,1)/_xlfn.XLOOKUP($A20,IS!$A$2:$A$27,IS!D$2:D$27," ",0,1))-1,"")</f>
        <v>0.31006071861268691</v>
      </c>
      <c r="D20" s="11">
        <f>IFERROR((_xlfn.XLOOKUP($A20,IS!$A$2:$A$27,IS!D$2:D$27," ",0,1)/_xlfn.XLOOKUP($A20,IS!$A$2:$A$27,IS!E$2:E$27," ",0,1))-1,"")</f>
        <v>-3.1076293272869315E-2</v>
      </c>
      <c r="E20" s="11">
        <f>IFERROR((_xlfn.XLOOKUP($A20,IS!$A$2:$A$27,IS!E$2:E$27," ",0,1)/_xlfn.XLOOKUP($A20,IS!$A$2:$A$27,IS!F$2:F$27," ",0,1))-1,"")</f>
        <v>2.6272822028039045E-2</v>
      </c>
    </row>
    <row r="21" spans="1:5" x14ac:dyDescent="0.35">
      <c r="A21" s="2" t="s">
        <v>55</v>
      </c>
      <c r="B21" s="11">
        <f>IFERROR((_xlfn.XLOOKUP($A21,IS!$A$2:$A$27,IS!B$2:B$27," ",0,1)/_xlfn.XLOOKUP($A21,IS!$A$2:$A$27,IS!C$2:C$27," ",0,1))-1,"")</f>
        <v>2.339992976157959</v>
      </c>
      <c r="C21" s="11">
        <f>IFERROR((_xlfn.XLOOKUP($A21,IS!$A$2:$A$27,IS!C$2:C$27," ",0,1)/_xlfn.XLOOKUP($A21,IS!$A$2:$A$27,IS!D$2:D$27," ",0,1))-1,"")</f>
        <v>-1.892170401401831</v>
      </c>
      <c r="D21" s="11">
        <f>IFERROR((_xlfn.XLOOKUP($A21,IS!$A$2:$A$27,IS!D$2:D$27," ",0,1)/_xlfn.XLOOKUP($A21,IS!$A$2:$A$27,IS!E$2:E$27," ",0,1))-1,"")</f>
        <v>-0.48782002704349248</v>
      </c>
      <c r="E21" s="11">
        <f>IFERROR((_xlfn.XLOOKUP($A21,IS!$A$2:$A$27,IS!E$2:E$27," ",0,1)/_xlfn.XLOOKUP($A21,IS!$A$2:$A$27,IS!F$2:F$27," ",0,1))-1,"")</f>
        <v>-0.27109101858149831</v>
      </c>
    </row>
    <row r="22" spans="1:5" x14ac:dyDescent="0.35">
      <c r="A22" s="1" t="s">
        <v>18</v>
      </c>
      <c r="B22" s="11">
        <f>IFERROR((_xlfn.XLOOKUP($A22,IS!$A$2:$A$27,IS!B$2:B$27," ",0,1)/_xlfn.XLOOKUP($A22,IS!$A$2:$A$27,IS!C$2:C$27," ",0,1))-1,"")</f>
        <v>-10.930026165051975</v>
      </c>
      <c r="C22" s="11">
        <f>IFERROR((_xlfn.XLOOKUP($A22,IS!$A$2:$A$27,IS!C$2:C$27," ",0,1)/_xlfn.XLOOKUP($A22,IS!$A$2:$A$27,IS!D$2:D$27," ",0,1))-1,"")</f>
        <v>-4.3907205371058629</v>
      </c>
      <c r="D22" s="11">
        <f>IFERROR((_xlfn.XLOOKUP($A22,IS!$A$2:$A$27,IS!D$2:D$27," ",0,1)/_xlfn.XLOOKUP($A22,IS!$A$2:$A$27,IS!E$2:E$27," ",0,1))-1,"")</f>
        <v>1.2036988110964333</v>
      </c>
      <c r="E22" s="11">
        <f>IFERROR((_xlfn.XLOOKUP($A22,IS!$A$2:$A$27,IS!E$2:E$27," ",0,1)/_xlfn.XLOOKUP($A22,IS!$A$2:$A$27,IS!F$2:F$27," ",0,1))-1,"")</f>
        <v>-1.0150741560862153</v>
      </c>
    </row>
    <row r="23" spans="1:5" x14ac:dyDescent="0.35">
      <c r="A23" s="2" t="s">
        <v>56</v>
      </c>
      <c r="B23" s="11">
        <f>IFERROR((_xlfn.XLOOKUP($A23,IS!$A$2:$A$27,IS!B$2:B$27," ",0,1)/_xlfn.XLOOKUP($A23,IS!$A$2:$A$27,IS!C$2:C$27," ",0,1))-1,"")</f>
        <v>5.2566305387312715</v>
      </c>
      <c r="C23" s="11">
        <f>IFERROR((_xlfn.XLOOKUP($A23,IS!$A$2:$A$27,IS!C$2:C$27," ",0,1)/_xlfn.XLOOKUP($A23,IS!$A$2:$A$27,IS!D$2:D$27," ",0,1))-1,"")</f>
        <v>-2.0058194526828799</v>
      </c>
      <c r="D23" s="11">
        <f>IFERROR((_xlfn.XLOOKUP($A23,IS!$A$2:$A$27,IS!D$2:D$27," ",0,1)/_xlfn.XLOOKUP($A23,IS!$A$2:$A$27,IS!E$2:E$27," ",0,1))-1,"")</f>
        <v>-0.46922677649101019</v>
      </c>
      <c r="E23" s="11">
        <f>IFERROR((_xlfn.XLOOKUP($A23,IS!$A$2:$A$27,IS!E$2:E$27," ",0,1)/_xlfn.XLOOKUP($A23,IS!$A$2:$A$27,IS!F$2:F$27," ",0,1))-1,"")</f>
        <v>-0.67022479634758547</v>
      </c>
    </row>
    <row r="24" spans="1:5" x14ac:dyDescent="0.35">
      <c r="A24" s="1" t="s">
        <v>14</v>
      </c>
      <c r="B24" s="11">
        <f>IFERROR((_xlfn.XLOOKUP($A24,IS!$A$2:$A$27,IS!B$2:B$27," ",0,1)/_xlfn.XLOOKUP($A24,IS!$A$2:$A$27,IS!C$2:C$27," ",0,1))-1,"")</f>
        <v>-0.96520806608159748</v>
      </c>
      <c r="C24" s="11">
        <f>IFERROR((_xlfn.XLOOKUP($A24,IS!$A$2:$A$27,IS!C$2:C$27," ",0,1)/_xlfn.XLOOKUP($A24,IS!$A$2:$A$27,IS!D$2:D$27," ",0,1))-1,"")</f>
        <v>-11.280002790957298</v>
      </c>
      <c r="D24" s="11">
        <f>IFERROR((_xlfn.XLOOKUP($A24,IS!$A$2:$A$27,IS!D$2:D$27," ",0,1)/_xlfn.XLOOKUP($A24,IS!$A$2:$A$27,IS!E$2:E$27," ",0,1))-1,"")</f>
        <v>0.72945577410401818</v>
      </c>
      <c r="E24" s="11">
        <f>IFERROR((_xlfn.XLOOKUP($A24,IS!$A$2:$A$27,IS!E$2:E$27," ",0,1)/_xlfn.XLOOKUP($A24,IS!$A$2:$A$27,IS!F$2:F$27," ",0,1))-1,"")</f>
        <v>-0.48937087929015954</v>
      </c>
    </row>
    <row r="25" spans="1:5" x14ac:dyDescent="0.35">
      <c r="A25" s="2" t="s">
        <v>19</v>
      </c>
      <c r="B25" s="11">
        <f>IFERROR((_xlfn.XLOOKUP($A25,IS!$A$2:$A$27,IS!B$2:B$27," ",0,1)/_xlfn.XLOOKUP($A25,IS!$A$2:$A$27,IS!C$2:C$27," ",0,1))-1,"")</f>
        <v>1.8965188609047221</v>
      </c>
      <c r="C25" s="11">
        <f>IFERROR((_xlfn.XLOOKUP($A25,IS!$A$2:$A$27,IS!C$2:C$27," ",0,1)/_xlfn.XLOOKUP($A25,IS!$A$2:$A$27,IS!D$2:D$27," ",0,1))-1,"")</f>
        <v>-2.9614698819435459</v>
      </c>
      <c r="D25" s="11">
        <f>IFERROR((_xlfn.XLOOKUP($A25,IS!$A$2:$A$27,IS!D$2:D$27," ",0,1)/_xlfn.XLOOKUP($A25,IS!$A$2:$A$27,IS!E$2:E$27," ",0,1))-1,"")</f>
        <v>-0.41937180643222127</v>
      </c>
      <c r="E25" s="11">
        <f>IFERROR((_xlfn.XLOOKUP($A25,IS!$A$2:$A$27,IS!E$2:E$27," ",0,1)/_xlfn.XLOOKUP($A25,IS!$A$2:$A$27,IS!F$2:F$27," ",0,1))-1,"")</f>
        <v>-0.67139072902191188</v>
      </c>
    </row>
    <row r="26" spans="1:5" x14ac:dyDescent="0.35">
      <c r="A26" s="1" t="s">
        <v>16</v>
      </c>
      <c r="B26" s="11">
        <f>IFERROR((_xlfn.XLOOKUP($A26,IS!$A$2:$A$27,IS!B$2:B$27," ",0,1)/_xlfn.XLOOKUP($A26,IS!$A$2:$A$27,IS!C$2:C$27," ",0,1))-1,"")</f>
        <v>-2.5789359470505264</v>
      </c>
      <c r="C26" s="11">
        <f>IFERROR((_xlfn.XLOOKUP($A26,IS!$A$2:$A$27,IS!C$2:C$27," ",0,1)/_xlfn.XLOOKUP($A26,IS!$A$2:$A$27,IS!D$2:D$27," ",0,1))-1,"")</f>
        <v>-3.2355271668822767</v>
      </c>
      <c r="D26" s="11">
        <f>IFERROR((_xlfn.XLOOKUP($A26,IS!$A$2:$A$27,IS!D$2:D$27," ",0,1)/_xlfn.XLOOKUP($A26,IS!$A$2:$A$27,IS!E$2:E$27," ",0,1))-1,"")</f>
        <v>-0.72080633874353817</v>
      </c>
      <c r="E26" s="11">
        <f>IFERROR((_xlfn.XLOOKUP($A26,IS!$A$2:$A$27,IS!E$2:E$27," ",0,1)/_xlfn.XLOOKUP($A26,IS!$A$2:$A$27,IS!F$2:F$27," ",0,1))-1,"")</f>
        <v>-2.1697032108153778</v>
      </c>
    </row>
    <row r="27" spans="1:5" x14ac:dyDescent="0.35">
      <c r="A27" s="2" t="s">
        <v>17</v>
      </c>
      <c r="B27" s="11">
        <f>IFERROR((_xlfn.XLOOKUP($A27,IS!$A$2:$A$27,IS!B$2:B$27," ",0,1)/_xlfn.XLOOKUP($A27,IS!$A$2:$A$27,IS!C$2:C$27," ",0,1))-1,"")</f>
        <v>2.4012497756603741</v>
      </c>
      <c r="C27" s="11">
        <f>IFERROR((_xlfn.XLOOKUP($A27,IS!$A$2:$A$27,IS!C$2:C$27," ",0,1)/_xlfn.XLOOKUP($A27,IS!$A$2:$A$27,IS!D$2:D$27," ",0,1))-1,"")</f>
        <v>-2.9347211919380038</v>
      </c>
      <c r="D27" s="11">
        <f>IFERROR((_xlfn.XLOOKUP($A27,IS!$A$2:$A$27,IS!D$2:D$27," ",0,1)/_xlfn.XLOOKUP($A27,IS!$A$2:$A$27,IS!E$2:E$27," ",0,1))-1,"")</f>
        <v>-0.35097953852851549</v>
      </c>
      <c r="E27" s="11">
        <f>IFERROR((_xlfn.XLOOKUP($A27,IS!$A$2:$A$27,IS!E$2:E$27," ",0,1)/_xlfn.XLOOKUP($A27,IS!$A$2:$A$27,IS!F$2:F$27," ",0,1))-1,"")</f>
        <v>-0.74538851252225058</v>
      </c>
    </row>
  </sheetData>
  <sheetProtection algorithmName="SHA-512" hashValue="/39py6alyMG5caswiC5ESpk/77KFGPSeV8VFw/Juv+HTeX328N+8OdEa2JeLX7QPs/5AARh6SI8HdQhKOnCIAQ==" saltValue="FfqYnKqT1J2WEe0jyE3TPg==" spinCount="100000"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5A8B1-29DB-421F-BD5A-B6D91FFBC112}">
  <dimension ref="A1:F36"/>
  <sheetViews>
    <sheetView topLeftCell="A3" workbookViewId="0">
      <selection sqref="A1:XFD1048576"/>
    </sheetView>
  </sheetViews>
  <sheetFormatPr defaultRowHeight="14.5" x14ac:dyDescent="0.35"/>
  <cols>
    <col min="1" max="1" width="46.7265625" customWidth="1"/>
  </cols>
  <sheetData>
    <row r="1" spans="1:6" ht="15.5" customHeight="1" x14ac:dyDescent="0.35">
      <c r="A1" s="3" t="s">
        <v>64</v>
      </c>
    </row>
    <row r="2" spans="1:6" x14ac:dyDescent="0.35">
      <c r="A2" s="2" t="s">
        <v>0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</row>
    <row r="3" spans="1:6" x14ac:dyDescent="0.35">
      <c r="A3" s="2" t="s">
        <v>20</v>
      </c>
    </row>
    <row r="4" spans="1:6" x14ac:dyDescent="0.35">
      <c r="A4" s="2" t="s">
        <v>21</v>
      </c>
    </row>
    <row r="5" spans="1:6" x14ac:dyDescent="0.35">
      <c r="A5" s="1" t="s">
        <v>22</v>
      </c>
      <c r="B5">
        <f>_xlfn.XLOOKUP($A5,BS!$A$2:$A$36,BS!B$2:B$36," ",0,1)</f>
        <v>12056.24</v>
      </c>
      <c r="C5">
        <f>_xlfn.XLOOKUP($A5,BS!$A$2:$A$36,BS!C$2:C$36," ",0,1)</f>
        <v>12176.6</v>
      </c>
      <c r="D5">
        <f>_xlfn.XLOOKUP($A5,BS!$A$2:$A$36,BS!D$2:D$36," ",0,1)</f>
        <v>11811.02</v>
      </c>
      <c r="E5">
        <f>_xlfn.XLOOKUP($A5,BS!$A$2:$A$36,BS!E$2:E$36," ",0,1)</f>
        <v>17143.04</v>
      </c>
      <c r="F5">
        <f>_xlfn.XLOOKUP($A5,BS!$A$2:$A$36,BS!F$2:F$36," ",0,1)</f>
        <v>18870.669999999998</v>
      </c>
    </row>
    <row r="6" spans="1:6" x14ac:dyDescent="0.35">
      <c r="A6" s="1" t="s">
        <v>23</v>
      </c>
      <c r="B6">
        <f>_xlfn.XLOOKUP($A6,BS!$A$2:$A$36,BS!B$2:B$36," ",0,1)</f>
        <v>575.65</v>
      </c>
      <c r="C6">
        <f>_xlfn.XLOOKUP($A6,BS!$A$2:$A$36,BS!C$2:C$36," ",0,1)</f>
        <v>575.65</v>
      </c>
      <c r="D6">
        <f>_xlfn.XLOOKUP($A6,BS!$A$2:$A$36,BS!D$2:D$36," ",0,1)</f>
        <v>585.21</v>
      </c>
      <c r="E6">
        <f>_xlfn.XLOOKUP($A6,BS!$A$2:$A$36,BS!E$2:E$36," ",0,1)</f>
        <v>1324.21</v>
      </c>
      <c r="F6">
        <f>_xlfn.XLOOKUP($A6,BS!$A$2:$A$36,BS!F$2:F$36," ",0,1)</f>
        <v>1755.51</v>
      </c>
    </row>
    <row r="7" spans="1:6" x14ac:dyDescent="0.35">
      <c r="A7" s="1" t="s">
        <v>24</v>
      </c>
      <c r="B7">
        <f>_xlfn.XLOOKUP($A7,BS!$A$2:$A$36,BS!B$2:B$36," ",0,1)</f>
        <v>338.25</v>
      </c>
      <c r="C7">
        <f>_xlfn.XLOOKUP($A7,BS!$A$2:$A$36,BS!C$2:C$36," ",0,1)</f>
        <v>344.2</v>
      </c>
      <c r="D7">
        <f>_xlfn.XLOOKUP($A7,BS!$A$2:$A$36,BS!D$2:D$36," ",0,1)</f>
        <v>332.45</v>
      </c>
      <c r="E7">
        <f>_xlfn.XLOOKUP($A7,BS!$A$2:$A$36,BS!E$2:E$36," ",0,1)</f>
        <v>979.48</v>
      </c>
      <c r="F7">
        <f>_xlfn.XLOOKUP($A7,BS!$A$2:$A$36,BS!F$2:F$36," ",0,1)</f>
        <v>669.58</v>
      </c>
    </row>
    <row r="8" spans="1:6" x14ac:dyDescent="0.35">
      <c r="A8" s="1" t="s">
        <v>25</v>
      </c>
      <c r="B8">
        <f>_xlfn.XLOOKUP($A8,BS!$A$2:$A$36,BS!B$2:B$36," ",0,1)</f>
        <v>99.09</v>
      </c>
      <c r="C8">
        <f>_xlfn.XLOOKUP($A8,BS!$A$2:$A$36,BS!C$2:C$36," ",0,1)</f>
        <v>99.09</v>
      </c>
      <c r="D8">
        <f>_xlfn.XLOOKUP($A8,BS!$A$2:$A$36,BS!D$2:D$36," ",0,1)</f>
        <v>99.09</v>
      </c>
      <c r="E8">
        <f>_xlfn.XLOOKUP($A8,BS!$A$2:$A$36,BS!E$2:E$36," ",0,1)</f>
        <v>99.09</v>
      </c>
      <c r="F8">
        <f>_xlfn.XLOOKUP($A8,BS!$A$2:$A$36,BS!F$2:F$36," ",0,1)</f>
        <v>99.09</v>
      </c>
    </row>
    <row r="9" spans="1:6" x14ac:dyDescent="0.35">
      <c r="A9" s="1" t="s">
        <v>26</v>
      </c>
      <c r="B9">
        <f>_xlfn.XLOOKUP($A9,BS!$A$2:$A$36,BS!B$2:B$36," ",0,1)</f>
        <v>1768.49</v>
      </c>
      <c r="C9">
        <f>_xlfn.XLOOKUP($A9,BS!$A$2:$A$36,BS!C$2:C$36," ",0,1)</f>
        <v>1914.76</v>
      </c>
      <c r="D9">
        <f>_xlfn.XLOOKUP($A9,BS!$A$2:$A$36,BS!D$2:D$36," ",0,1)</f>
        <v>2009.87</v>
      </c>
      <c r="E9">
        <f>_xlfn.XLOOKUP($A9,BS!$A$2:$A$36,BS!E$2:E$36," ",0,1)</f>
        <v>6156.56</v>
      </c>
      <c r="F9">
        <f>_xlfn.XLOOKUP($A9,BS!$A$2:$A$36,BS!F$2:F$36," ",0,1)</f>
        <v>5568.64</v>
      </c>
    </row>
    <row r="10" spans="1:6" x14ac:dyDescent="0.35">
      <c r="A10" s="1" t="s">
        <v>27</v>
      </c>
      <c r="B10">
        <f>_xlfn.XLOOKUP($A10,BS!$A$2:$A$36,BS!B$2:B$36," ",0,1)</f>
        <v>509.3</v>
      </c>
      <c r="C10">
        <f>_xlfn.XLOOKUP($A10,BS!$A$2:$A$36,BS!C$2:C$36," ",0,1)</f>
        <v>509.3</v>
      </c>
      <c r="D10">
        <f>_xlfn.XLOOKUP($A10,BS!$A$2:$A$36,BS!D$2:D$36," ",0,1)</f>
        <v>882.03</v>
      </c>
      <c r="E10">
        <f>_xlfn.XLOOKUP($A10,BS!$A$2:$A$36,BS!E$2:E$36," ",0,1)</f>
        <v>1604.23</v>
      </c>
      <c r="F10">
        <f>_xlfn.XLOOKUP($A10,BS!$A$2:$A$36,BS!F$2:F$36," ",0,1)</f>
        <v>2739.29</v>
      </c>
    </row>
    <row r="11" spans="1:6" x14ac:dyDescent="0.35">
      <c r="A11" s="1" t="s">
        <v>28</v>
      </c>
      <c r="B11">
        <f>_xlfn.XLOOKUP($A11,BS!$A$2:$A$36,BS!B$2:B$36," ",0,1)</f>
        <v>25819.34</v>
      </c>
      <c r="C11">
        <f>_xlfn.XLOOKUP($A11,BS!$A$2:$A$36,BS!C$2:C$36," ",0,1)</f>
        <v>27976.799999999999</v>
      </c>
      <c r="D11">
        <f>_xlfn.XLOOKUP($A11,BS!$A$2:$A$36,BS!D$2:D$36," ",0,1)</f>
        <v>24723.34</v>
      </c>
      <c r="E11">
        <f>_xlfn.XLOOKUP($A11,BS!$A$2:$A$36,BS!E$2:E$36," ",0,1)</f>
        <v>14287.8</v>
      </c>
      <c r="F11">
        <f>_xlfn.XLOOKUP($A11,BS!$A$2:$A$36,BS!F$2:F$36," ",0,1)</f>
        <v>15182.29</v>
      </c>
    </row>
    <row r="12" spans="1:6" x14ac:dyDescent="0.35">
      <c r="A12" s="1" t="s">
        <v>29</v>
      </c>
      <c r="B12">
        <f>_xlfn.XLOOKUP($A12,BS!$A$2:$A$36,BS!B$2:B$36," ",0,1)</f>
        <v>-1283.47</v>
      </c>
      <c r="C12">
        <f>_xlfn.XLOOKUP($A12,BS!$A$2:$A$36,BS!C$2:C$36," ",0,1)</f>
        <v>-1402.16</v>
      </c>
      <c r="D12">
        <f>_xlfn.XLOOKUP($A12,BS!$A$2:$A$36,BS!D$2:D$36," ",0,1)</f>
        <v>-1507.57</v>
      </c>
      <c r="E12">
        <f>_xlfn.XLOOKUP($A12,BS!$A$2:$A$36,BS!E$2:E$36," ",0,1)</f>
        <v>1691.01</v>
      </c>
      <c r="F12">
        <f>_xlfn.XLOOKUP($A12,BS!$A$2:$A$36,BS!F$2:F$36," ",0,1)</f>
        <v>2204.5300000000002</v>
      </c>
    </row>
    <row r="13" spans="1:6" x14ac:dyDescent="0.35">
      <c r="A13" s="1" t="s">
        <v>30</v>
      </c>
      <c r="B13">
        <f>_xlfn.XLOOKUP($A13,BS!$A$2:$A$36,BS!B$2:B$36," ",0,1)</f>
        <v>1751.48</v>
      </c>
      <c r="C13">
        <f>_xlfn.XLOOKUP($A13,BS!$A$2:$A$36,BS!C$2:C$36," ",0,1)</f>
        <v>1909.8</v>
      </c>
      <c r="D13">
        <f>_xlfn.XLOOKUP($A13,BS!$A$2:$A$36,BS!D$2:D$36," ",0,1)</f>
        <v>1847.16</v>
      </c>
      <c r="E13">
        <f>_xlfn.XLOOKUP($A13,BS!$A$2:$A$36,BS!E$2:E$36," ",0,1)</f>
        <v>741.02</v>
      </c>
      <c r="F13">
        <f>_xlfn.XLOOKUP($A13,BS!$A$2:$A$36,BS!F$2:F$36," ",0,1)</f>
        <v>727.97</v>
      </c>
    </row>
    <row r="14" spans="1:6" x14ac:dyDescent="0.35">
      <c r="A14" s="1" t="s">
        <v>31</v>
      </c>
      <c r="B14">
        <f>_xlfn.XLOOKUP($A14,BS!$A$2:$A$36,BS!B$2:B$36," ",0,1)</f>
        <v>-1301.98</v>
      </c>
      <c r="C14">
        <f>_xlfn.XLOOKUP($A14,BS!$A$2:$A$36,BS!C$2:C$36," ",0,1)</f>
        <v>-1439.42</v>
      </c>
      <c r="D14">
        <f>_xlfn.XLOOKUP($A14,BS!$A$2:$A$36,BS!D$2:D$36," ",0,1)</f>
        <v>-2059.4499999999998</v>
      </c>
      <c r="E14">
        <f>_xlfn.XLOOKUP($A14,BS!$A$2:$A$36,BS!E$2:E$36," ",0,1)</f>
        <v>1056.77</v>
      </c>
      <c r="F14">
        <f>_xlfn.XLOOKUP($A14,BS!$A$2:$A$36,BS!F$2:F$36," ",0,1)</f>
        <v>1208.08</v>
      </c>
    </row>
    <row r="15" spans="1:6" x14ac:dyDescent="0.35">
      <c r="A15" s="2" t="s">
        <v>32</v>
      </c>
      <c r="B15">
        <f>_xlfn.XLOOKUP($A15,BS!$A$2:$A$36,BS!B$2:B$36," ",0,1)</f>
        <v>36258.71</v>
      </c>
      <c r="C15">
        <f>_xlfn.XLOOKUP($A15,BS!$A$2:$A$36,BS!C$2:C$36," ",0,1)</f>
        <v>26868.97</v>
      </c>
      <c r="D15">
        <f>_xlfn.XLOOKUP($A15,BS!$A$2:$A$36,BS!D$2:D$36," ",0,1)</f>
        <v>26792.13</v>
      </c>
      <c r="E15">
        <f>_xlfn.XLOOKUP($A15,BS!$A$2:$A$36,BS!E$2:E$36," ",0,1)</f>
        <v>25309.78</v>
      </c>
      <c r="F15">
        <f>_xlfn.XLOOKUP($A15,BS!$A$2:$A$36,BS!F$2:F$36," ",0,1)</f>
        <v>7861.82</v>
      </c>
    </row>
    <row r="16" spans="1:6" x14ac:dyDescent="0.35">
      <c r="A16" s="1" t="s">
        <v>33</v>
      </c>
      <c r="B16">
        <f>_xlfn.XLOOKUP($A16,BS!$A$2:$A$36,BS!B$2:B$36," ",0,1)</f>
        <v>8247.7800000000007</v>
      </c>
      <c r="C16">
        <f>_xlfn.XLOOKUP($A16,BS!$A$2:$A$36,BS!C$2:C$36," ",0,1)</f>
        <v>5515.22</v>
      </c>
      <c r="D16">
        <f>_xlfn.XLOOKUP($A16,BS!$A$2:$A$36,BS!D$2:D$36," ",0,1)</f>
        <v>5348.88</v>
      </c>
      <c r="E16">
        <f>_xlfn.XLOOKUP($A16,BS!$A$2:$A$36,BS!E$2:E$36," ",0,1)</f>
        <v>5084.7</v>
      </c>
      <c r="F16">
        <f>_xlfn.XLOOKUP($A16,BS!$A$2:$A$36,BS!F$2:F$36," ",0,1)</f>
        <v>6654.89</v>
      </c>
    </row>
    <row r="17" spans="1:6" ht="29" x14ac:dyDescent="0.35">
      <c r="A17" s="1" t="s">
        <v>34</v>
      </c>
      <c r="B17">
        <f>_xlfn.XLOOKUP($A17,BS!$A$2:$A$36,BS!B$2:B$36," ",0,1)</f>
        <v>26819.29</v>
      </c>
      <c r="C17">
        <f>_xlfn.XLOOKUP($A17,BS!$A$2:$A$36,BS!C$2:C$36," ",0,1)</f>
        <v>20401.759999999998</v>
      </c>
      <c r="D17">
        <f>_xlfn.XLOOKUP($A17,BS!$A$2:$A$36,BS!D$2:D$36," ",0,1)</f>
        <v>20689.84</v>
      </c>
      <c r="E17">
        <f>_xlfn.XLOOKUP($A17,BS!$A$2:$A$36,BS!E$2:E$36," ",0,1)</f>
        <v>19307.38</v>
      </c>
      <c r="F17">
        <f>_xlfn.XLOOKUP($A17,BS!$A$2:$A$36,BS!F$2:F$36," ",0,1)</f>
        <v>913.68</v>
      </c>
    </row>
    <row r="18" spans="1:6" x14ac:dyDescent="0.35">
      <c r="A18" s="1" t="s">
        <v>35</v>
      </c>
      <c r="B18">
        <f>_xlfn.XLOOKUP($A18,BS!$A$2:$A$36,BS!B$2:B$36," ",0,1)</f>
        <v>108.76</v>
      </c>
      <c r="C18">
        <f>_xlfn.XLOOKUP($A18,BS!$A$2:$A$36,BS!C$2:C$36," ",0,1)</f>
        <v>98.49</v>
      </c>
      <c r="D18">
        <f>_xlfn.XLOOKUP($A18,BS!$A$2:$A$36,BS!D$2:D$36," ",0,1)</f>
        <v>27.6</v>
      </c>
      <c r="E18">
        <f>_xlfn.XLOOKUP($A18,BS!$A$2:$A$36,BS!E$2:E$36," ",0,1)</f>
        <v>4.3899999999999997</v>
      </c>
      <c r="F18">
        <f>_xlfn.XLOOKUP($A18,BS!$A$2:$A$36,BS!F$2:F$36," ",0,1)</f>
        <v>102.5</v>
      </c>
    </row>
    <row r="19" spans="1:6" x14ac:dyDescent="0.35">
      <c r="A19" s="1" t="s">
        <v>36</v>
      </c>
      <c r="B19">
        <f>_xlfn.XLOOKUP($A19,BS!$A$2:$A$36,BS!B$2:B$36," ",0,1)</f>
        <v>64.92</v>
      </c>
      <c r="C19">
        <f>_xlfn.XLOOKUP($A19,BS!$A$2:$A$36,BS!C$2:C$36," ",0,1)</f>
        <v>827.78</v>
      </c>
      <c r="D19">
        <f>_xlfn.XLOOKUP($A19,BS!$A$2:$A$36,BS!D$2:D$36," ",0,1)</f>
        <v>725.81</v>
      </c>
      <c r="E19">
        <f>_xlfn.XLOOKUP($A19,BS!$A$2:$A$36,BS!E$2:E$36," ",0,1)</f>
        <v>913.31</v>
      </c>
      <c r="F19">
        <f>_xlfn.XLOOKUP($A19,BS!$A$2:$A$36,BS!F$2:F$36," ",0,1)</f>
        <v>190.75</v>
      </c>
    </row>
    <row r="20" spans="1:6" x14ac:dyDescent="0.35">
      <c r="A20" s="2" t="s">
        <v>37</v>
      </c>
      <c r="B20">
        <f>_xlfn.XLOOKUP($A20,BS!$A$2:$A$36,BS!B$2:B$36," ",0,1)</f>
        <v>72391.8</v>
      </c>
      <c r="C20">
        <f>_xlfn.XLOOKUP($A20,BS!$A$2:$A$36,BS!C$2:C$36," ",0,1)</f>
        <v>59929.19</v>
      </c>
      <c r="D20">
        <f>_xlfn.XLOOKUP($A20,BS!$A$2:$A$36,BS!D$2:D$36," ",0,1)</f>
        <v>57750.95</v>
      </c>
      <c r="E20">
        <f>_xlfn.XLOOKUP($A20,BS!$A$2:$A$36,BS!E$2:E$36," ",0,1)</f>
        <v>55593.43</v>
      </c>
      <c r="F20">
        <f>_xlfn.XLOOKUP($A20,BS!$A$2:$A$36,BS!F$2:F$36," ",0,1)</f>
        <v>55103.88</v>
      </c>
    </row>
    <row r="21" spans="1:6" x14ac:dyDescent="0.35">
      <c r="A21" s="1"/>
    </row>
    <row r="22" spans="1:6" x14ac:dyDescent="0.35">
      <c r="A22" s="2" t="s">
        <v>38</v>
      </c>
    </row>
    <row r="23" spans="1:6" x14ac:dyDescent="0.35">
      <c r="A23" s="2" t="s">
        <v>39</v>
      </c>
    </row>
    <row r="24" spans="1:6" x14ac:dyDescent="0.35">
      <c r="A24" s="1" t="s">
        <v>40</v>
      </c>
    </row>
    <row r="25" spans="1:6" x14ac:dyDescent="0.35">
      <c r="A25" s="1" t="s">
        <v>41</v>
      </c>
    </row>
    <row r="26" spans="1:6" x14ac:dyDescent="0.35">
      <c r="A26" s="2" t="s">
        <v>42</v>
      </c>
    </row>
    <row r="27" spans="1:6" x14ac:dyDescent="0.35">
      <c r="A27" s="1" t="s">
        <v>43</v>
      </c>
    </row>
    <row r="28" spans="1:6" x14ac:dyDescent="0.35">
      <c r="A28" s="1" t="s">
        <v>44</v>
      </c>
    </row>
    <row r="29" spans="1:6" x14ac:dyDescent="0.35">
      <c r="A29" s="1" t="s">
        <v>45</v>
      </c>
    </row>
    <row r="30" spans="1:6" x14ac:dyDescent="0.35">
      <c r="A30" s="1" t="s">
        <v>46</v>
      </c>
    </row>
    <row r="31" spans="1:6" x14ac:dyDescent="0.35">
      <c r="A31" s="2" t="s">
        <v>47</v>
      </c>
    </row>
    <row r="32" spans="1:6" x14ac:dyDescent="0.35">
      <c r="A32" s="1" t="s">
        <v>48</v>
      </c>
    </row>
    <row r="33" spans="1:1" x14ac:dyDescent="0.35">
      <c r="A33" s="1" t="s">
        <v>44</v>
      </c>
    </row>
    <row r="34" spans="1:1" x14ac:dyDescent="0.35">
      <c r="A34" s="1" t="s">
        <v>49</v>
      </c>
    </row>
    <row r="35" spans="1:1" x14ac:dyDescent="0.35">
      <c r="A35" s="1" t="s">
        <v>50</v>
      </c>
    </row>
    <row r="36" spans="1:1" x14ac:dyDescent="0.35">
      <c r="A36" s="2" t="s">
        <v>51</v>
      </c>
    </row>
  </sheetData>
  <sheetProtection algorithmName="SHA-512" hashValue="FaLLgTDv/tYRkfOoKlu4pJOVT+tP3ECHbmm7RJw6e+5j4OvUey8aDGv9n83sSfutSdSg5FwsavKRjFIYInHO2w==" saltValue="tyB/6ynF8/FI7kolcxPJew==" spinCount="100000"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AEC67-DFE2-49F8-A72E-E19998A88528}">
  <dimension ref="A1:F36"/>
  <sheetViews>
    <sheetView workbookViewId="0">
      <selection activeCell="B5" sqref="A1:XFD1048576"/>
    </sheetView>
  </sheetViews>
  <sheetFormatPr defaultRowHeight="14.5" x14ac:dyDescent="0.35"/>
  <cols>
    <col min="1" max="1" width="46.7265625" customWidth="1"/>
  </cols>
  <sheetData>
    <row r="1" spans="1:6" ht="15.5" customHeight="1" x14ac:dyDescent="0.35">
      <c r="A1" s="3" t="s">
        <v>64</v>
      </c>
    </row>
    <row r="2" spans="1:6" x14ac:dyDescent="0.35">
      <c r="A2" s="2" t="s">
        <v>0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</row>
    <row r="3" spans="1:6" x14ac:dyDescent="0.35">
      <c r="A3" s="2" t="s">
        <v>20</v>
      </c>
    </row>
    <row r="4" spans="1:6" x14ac:dyDescent="0.35">
      <c r="A4" s="2" t="s">
        <v>21</v>
      </c>
    </row>
    <row r="5" spans="1:6" x14ac:dyDescent="0.35">
      <c r="A5" s="1" t="s">
        <v>22</v>
      </c>
      <c r="B5">
        <f>IFERROR(_xlfn.XLOOKUP($A5,BS!$A$2:$A$36,BS!B$2:B$36," ",0,1)/_xlfn.XLOOKUP($A5,BS!$A$2:$A$36,BS!C$2:C$36,"",0,1)-1, "")</f>
        <v>-9.8845326281556956E-3</v>
      </c>
      <c r="C5">
        <f>IFERROR(_xlfn.XLOOKUP($A5,BS!$A$2:$A$36,BS!C$2:C$36," ",0,1)/_xlfn.XLOOKUP($A5,BS!$A$2:$A$36,BS!D$2:D$36,"",0,1)-1, "")</f>
        <v>3.0952449492084533E-2</v>
      </c>
      <c r="D5">
        <f>IFERROR(_xlfn.XLOOKUP($A5,BS!$A$2:$A$36,BS!D$2:D$36," ",0,1)/_xlfn.XLOOKUP($A5,BS!$A$2:$A$36,BS!E$2:E$36,"",0,1)-1, "")</f>
        <v>-0.31103118233405513</v>
      </c>
      <c r="E5">
        <f>IFERROR(_xlfn.XLOOKUP($A5,BS!$A$2:$A$36,BS!E$2:E$36," ",0,1)/_xlfn.XLOOKUP($A5,BS!$A$2:$A$36,BS!F$2:F$36,"",0,1)-1, "")</f>
        <v>-9.1551068404036373E-2</v>
      </c>
      <c r="F5" t="str">
        <f>IFERROR(_xlfn.XLOOKUP($A5,BS!$A$2:$A$36,BS!F$2:F$36," ",0,1)/_xlfn.XLOOKUP($A5,BS!$A$2:$A$36,BS!G$2:G$36,"",0,1), "")</f>
        <v/>
      </c>
    </row>
    <row r="6" spans="1:6" x14ac:dyDescent="0.35">
      <c r="A6" s="1" t="s">
        <v>23</v>
      </c>
      <c r="B6">
        <f>IFERROR(_xlfn.XLOOKUP($A6,BS!$A$2:$A$36,BS!B$2:B$36," ",0,1)/_xlfn.XLOOKUP($A6,BS!$A$2:$A$36,BS!C$2:C$36,"",0,1)-1, "")</f>
        <v>0</v>
      </c>
      <c r="C6">
        <f>IFERROR(_xlfn.XLOOKUP($A6,BS!$A$2:$A$36,BS!C$2:C$36," ",0,1)/_xlfn.XLOOKUP($A6,BS!$A$2:$A$36,BS!D$2:D$36,"",0,1)-1, "")</f>
        <v>-1.6336016130961584E-2</v>
      </c>
      <c r="D6">
        <f>IFERROR(_xlfn.XLOOKUP($A6,BS!$A$2:$A$36,BS!D$2:D$36," ",0,1)/_xlfn.XLOOKUP($A6,BS!$A$2:$A$36,BS!E$2:E$36,"",0,1)-1, "")</f>
        <v>-0.55806858428799055</v>
      </c>
      <c r="E6">
        <f>IFERROR(_xlfn.XLOOKUP($A6,BS!$A$2:$A$36,BS!E$2:E$36," ",0,1)/_xlfn.XLOOKUP($A6,BS!$A$2:$A$36,BS!F$2:F$36,"",0,1)-1, "")</f>
        <v>-0.24568359052355149</v>
      </c>
    </row>
    <row r="7" spans="1:6" x14ac:dyDescent="0.35">
      <c r="A7" s="1" t="s">
        <v>24</v>
      </c>
      <c r="B7">
        <f>IFERROR(_xlfn.XLOOKUP($A7,BS!$A$2:$A$36,BS!B$2:B$36," ",0,1)/_xlfn.XLOOKUP($A7,BS!$A$2:$A$36,BS!C$2:C$36,"",0,1)-1, "")</f>
        <v>-1.7286461359674599E-2</v>
      </c>
      <c r="C7">
        <f>IFERROR(_xlfn.XLOOKUP($A7,BS!$A$2:$A$36,BS!C$2:C$36," ",0,1)/_xlfn.XLOOKUP($A7,BS!$A$2:$A$36,BS!D$2:D$36,"",0,1)-1, "")</f>
        <v>3.534366070085726E-2</v>
      </c>
      <c r="D7">
        <f>IFERROR(_xlfn.XLOOKUP($A7,BS!$A$2:$A$36,BS!D$2:D$36," ",0,1)/_xlfn.XLOOKUP($A7,BS!$A$2:$A$36,BS!E$2:E$36,"",0,1)-1, "")</f>
        <v>-0.66058520847796798</v>
      </c>
      <c r="E7">
        <f>IFERROR(_xlfn.XLOOKUP($A7,BS!$A$2:$A$36,BS!E$2:E$36," ",0,1)/_xlfn.XLOOKUP($A7,BS!$A$2:$A$36,BS!F$2:F$36,"",0,1)-1, "")</f>
        <v>0.46282744406941667</v>
      </c>
    </row>
    <row r="8" spans="1:6" x14ac:dyDescent="0.35">
      <c r="A8" s="1" t="s">
        <v>25</v>
      </c>
      <c r="B8">
        <f>IFERROR(_xlfn.XLOOKUP($A8,BS!$A$2:$A$36,BS!B$2:B$36," ",0,1)/_xlfn.XLOOKUP($A8,BS!$A$2:$A$36,BS!C$2:C$36,"",0,1)-1, "")</f>
        <v>0</v>
      </c>
      <c r="C8">
        <f>IFERROR(_xlfn.XLOOKUP($A8,BS!$A$2:$A$36,BS!C$2:C$36," ",0,1)/_xlfn.XLOOKUP($A8,BS!$A$2:$A$36,BS!D$2:D$36,"",0,1)-1, "")</f>
        <v>0</v>
      </c>
      <c r="D8">
        <f>IFERROR(_xlfn.XLOOKUP($A8,BS!$A$2:$A$36,BS!D$2:D$36," ",0,1)/_xlfn.XLOOKUP($A8,BS!$A$2:$A$36,BS!E$2:E$36,"",0,1)-1, "")</f>
        <v>0</v>
      </c>
      <c r="E8">
        <f>IFERROR(_xlfn.XLOOKUP($A8,BS!$A$2:$A$36,BS!E$2:E$36," ",0,1)/_xlfn.XLOOKUP($A8,BS!$A$2:$A$36,BS!F$2:F$36,"",0,1)-1, "")</f>
        <v>0</v>
      </c>
    </row>
    <row r="9" spans="1:6" x14ac:dyDescent="0.35">
      <c r="A9" s="1" t="s">
        <v>26</v>
      </c>
      <c r="B9">
        <f>IFERROR(_xlfn.XLOOKUP($A9,BS!$A$2:$A$36,BS!B$2:B$36," ",0,1)/_xlfn.XLOOKUP($A9,BS!$A$2:$A$36,BS!C$2:C$36,"",0,1)-1, "")</f>
        <v>-7.639077482295431E-2</v>
      </c>
      <c r="C9">
        <f>IFERROR(_xlfn.XLOOKUP($A9,BS!$A$2:$A$36,BS!C$2:C$36," ",0,1)/_xlfn.XLOOKUP($A9,BS!$A$2:$A$36,BS!D$2:D$36,"",0,1)-1, "")</f>
        <v>-4.732146855269237E-2</v>
      </c>
      <c r="D9">
        <f>IFERROR(_xlfn.XLOOKUP($A9,BS!$A$2:$A$36,BS!D$2:D$36," ",0,1)/_xlfn.XLOOKUP($A9,BS!$A$2:$A$36,BS!E$2:E$36,"",0,1)-1, "")</f>
        <v>-0.67354009381862601</v>
      </c>
      <c r="E9">
        <f>IFERROR(_xlfn.XLOOKUP($A9,BS!$A$2:$A$36,BS!E$2:E$36," ",0,1)/_xlfn.XLOOKUP($A9,BS!$A$2:$A$36,BS!F$2:F$36,"",0,1)-1, "")</f>
        <v>0.10557694517871519</v>
      </c>
    </row>
    <row r="10" spans="1:6" x14ac:dyDescent="0.35">
      <c r="A10" s="1" t="s">
        <v>27</v>
      </c>
      <c r="B10">
        <f>IFERROR(_xlfn.XLOOKUP($A10,BS!$A$2:$A$36,BS!B$2:B$36," ",0,1)/_xlfn.XLOOKUP($A10,BS!$A$2:$A$36,BS!C$2:C$36,"",0,1)-1, "")</f>
        <v>0</v>
      </c>
      <c r="C10">
        <f>IFERROR(_xlfn.XLOOKUP($A10,BS!$A$2:$A$36,BS!C$2:C$36," ",0,1)/_xlfn.XLOOKUP($A10,BS!$A$2:$A$36,BS!D$2:D$36,"",0,1)-1, "")</f>
        <v>-0.42258199834472743</v>
      </c>
      <c r="D10">
        <f>IFERROR(_xlfn.XLOOKUP($A10,BS!$A$2:$A$36,BS!D$2:D$36," ",0,1)/_xlfn.XLOOKUP($A10,BS!$A$2:$A$36,BS!E$2:E$36,"",0,1)-1, "")</f>
        <v>-0.45018482387188874</v>
      </c>
      <c r="E10">
        <f>IFERROR(_xlfn.XLOOKUP($A10,BS!$A$2:$A$36,BS!E$2:E$36," ",0,1)/_xlfn.XLOOKUP($A10,BS!$A$2:$A$36,BS!F$2:F$36,"",0,1)-1, "")</f>
        <v>-0.41436284584691652</v>
      </c>
    </row>
    <row r="11" spans="1:6" x14ac:dyDescent="0.35">
      <c r="A11" s="1" t="s">
        <v>28</v>
      </c>
      <c r="B11">
        <f>IFERROR(_xlfn.XLOOKUP($A11,BS!$A$2:$A$36,BS!B$2:B$36," ",0,1)/_xlfn.XLOOKUP($A11,BS!$A$2:$A$36,BS!C$2:C$36,"",0,1)-1, "")</f>
        <v>-7.7116039003745973E-2</v>
      </c>
      <c r="C11">
        <f>IFERROR(_xlfn.XLOOKUP($A11,BS!$A$2:$A$36,BS!C$2:C$36," ",0,1)/_xlfn.XLOOKUP($A11,BS!$A$2:$A$36,BS!D$2:D$36,"",0,1)-1, "")</f>
        <v>0.13159467935966584</v>
      </c>
      <c r="D11">
        <f>IFERROR(_xlfn.XLOOKUP($A11,BS!$A$2:$A$36,BS!D$2:D$36," ",0,1)/_xlfn.XLOOKUP($A11,BS!$A$2:$A$36,BS!E$2:E$36,"",0,1)-1, "")</f>
        <v>0.73038116435000511</v>
      </c>
      <c r="E11">
        <f>IFERROR(_xlfn.XLOOKUP($A11,BS!$A$2:$A$36,BS!E$2:E$36," ",0,1)/_xlfn.XLOOKUP($A11,BS!$A$2:$A$36,BS!F$2:F$36,"",0,1)-1, "")</f>
        <v>-5.8916671990852598E-2</v>
      </c>
    </row>
    <row r="12" spans="1:6" x14ac:dyDescent="0.35">
      <c r="A12" s="1" t="s">
        <v>29</v>
      </c>
      <c r="B12">
        <f>IFERROR(_xlfn.XLOOKUP($A12,BS!$A$2:$A$36,BS!B$2:B$36," ",0,1)/_xlfn.XLOOKUP($A12,BS!$A$2:$A$36,BS!C$2:C$36,"",0,1)-1, "")</f>
        <v>-8.4647971700804514E-2</v>
      </c>
      <c r="C12">
        <f>IFERROR(_xlfn.XLOOKUP($A12,BS!$A$2:$A$36,BS!C$2:C$36," ",0,1)/_xlfn.XLOOKUP($A12,BS!$A$2:$A$36,BS!D$2:D$36,"",0,1)-1, "")</f>
        <v>-6.9920468037968253E-2</v>
      </c>
      <c r="D12">
        <f>IFERROR(_xlfn.XLOOKUP($A12,BS!$A$2:$A$36,BS!D$2:D$36," ",0,1)/_xlfn.XLOOKUP($A12,BS!$A$2:$A$36,BS!E$2:E$36,"",0,1)-1, "")</f>
        <v>-1.8915204522740847</v>
      </c>
      <c r="E12">
        <f>IFERROR(_xlfn.XLOOKUP($A12,BS!$A$2:$A$36,BS!E$2:E$36," ",0,1)/_xlfn.XLOOKUP($A12,BS!$A$2:$A$36,BS!F$2:F$36,"",0,1)-1, "")</f>
        <v>-0.23293854018770443</v>
      </c>
    </row>
    <row r="13" spans="1:6" x14ac:dyDescent="0.35">
      <c r="A13" s="1" t="s">
        <v>30</v>
      </c>
      <c r="B13">
        <f>IFERROR(_xlfn.XLOOKUP($A13,BS!$A$2:$A$36,BS!B$2:B$36," ",0,1)/_xlfn.XLOOKUP($A13,BS!$A$2:$A$36,BS!C$2:C$36,"",0,1)-1, "")</f>
        <v>-8.2898732851607426E-2</v>
      </c>
      <c r="C13">
        <f>IFERROR(_xlfn.XLOOKUP($A13,BS!$A$2:$A$36,BS!C$2:C$36," ",0,1)/_xlfn.XLOOKUP($A13,BS!$A$2:$A$36,BS!D$2:D$36,"",0,1)-1, "")</f>
        <v>3.391151822256866E-2</v>
      </c>
      <c r="D13">
        <f>IFERROR(_xlfn.XLOOKUP($A13,BS!$A$2:$A$36,BS!D$2:D$36," ",0,1)/_xlfn.XLOOKUP($A13,BS!$A$2:$A$36,BS!E$2:E$36,"",0,1)-1, "")</f>
        <v>1.4927262422066883</v>
      </c>
      <c r="E13">
        <f>IFERROR(_xlfn.XLOOKUP($A13,BS!$A$2:$A$36,BS!E$2:E$36," ",0,1)/_xlfn.XLOOKUP($A13,BS!$A$2:$A$36,BS!F$2:F$36,"",0,1)-1, "")</f>
        <v>1.7926562907812027E-2</v>
      </c>
    </row>
    <row r="14" spans="1:6" x14ac:dyDescent="0.35">
      <c r="A14" s="1" t="s">
        <v>31</v>
      </c>
      <c r="B14">
        <f>IFERROR(_xlfn.XLOOKUP($A14,BS!$A$2:$A$36,BS!B$2:B$36," ",0,1)/_xlfn.XLOOKUP($A14,BS!$A$2:$A$36,BS!C$2:C$36,"",0,1)-1, "")</f>
        <v>-9.5482902835864469E-2</v>
      </c>
      <c r="C14">
        <f>IFERROR(_xlfn.XLOOKUP($A14,BS!$A$2:$A$36,BS!C$2:C$36," ",0,1)/_xlfn.XLOOKUP($A14,BS!$A$2:$A$36,BS!D$2:D$36,"",0,1)-1, "")</f>
        <v>-0.30106581854378589</v>
      </c>
      <c r="D14">
        <f>IFERROR(_xlfn.XLOOKUP($A14,BS!$A$2:$A$36,BS!D$2:D$36," ",0,1)/_xlfn.XLOOKUP($A14,BS!$A$2:$A$36,BS!E$2:E$36,"",0,1)-1, "")</f>
        <v>-2.948815730953755</v>
      </c>
      <c r="E14">
        <f>IFERROR(_xlfn.XLOOKUP($A14,BS!$A$2:$A$36,BS!E$2:E$36," ",0,1)/_xlfn.XLOOKUP($A14,BS!$A$2:$A$36,BS!F$2:F$36,"",0,1)-1, "")</f>
        <v>-0.12524832792530294</v>
      </c>
    </row>
    <row r="15" spans="1:6" x14ac:dyDescent="0.35">
      <c r="A15" s="2" t="s">
        <v>32</v>
      </c>
      <c r="B15">
        <f>IFERROR(_xlfn.XLOOKUP($A15,BS!$A$2:$A$36,BS!B$2:B$36," ",0,1)/_xlfn.XLOOKUP($A15,BS!$A$2:$A$36,BS!C$2:C$36,"",0,1)-1, "")</f>
        <v>0.34946408440665944</v>
      </c>
      <c r="C15">
        <f>IFERROR(_xlfn.XLOOKUP($A15,BS!$A$2:$A$36,BS!C$2:C$36," ",0,1)/_xlfn.XLOOKUP($A15,BS!$A$2:$A$36,BS!D$2:D$36,"",0,1)-1, "")</f>
        <v>2.8680063884432005E-3</v>
      </c>
      <c r="D15">
        <f>IFERROR(_xlfn.XLOOKUP($A15,BS!$A$2:$A$36,BS!D$2:D$36," ",0,1)/_xlfn.XLOOKUP($A15,BS!$A$2:$A$36,BS!E$2:E$36,"",0,1)-1, "")</f>
        <v>5.8568268866817652E-2</v>
      </c>
      <c r="E15">
        <f>IFERROR(_xlfn.XLOOKUP($A15,BS!$A$2:$A$36,BS!E$2:E$36," ",0,1)/_xlfn.XLOOKUP($A15,BS!$A$2:$A$36,BS!F$2:F$36,"",0,1)-1, "")</f>
        <v>2.2193283489064872</v>
      </c>
    </row>
    <row r="16" spans="1:6" x14ac:dyDescent="0.35">
      <c r="A16" s="1" t="s">
        <v>33</v>
      </c>
      <c r="B16">
        <f>IFERROR(_xlfn.XLOOKUP($A16,BS!$A$2:$A$36,BS!B$2:B$36," ",0,1)/_xlfn.XLOOKUP($A16,BS!$A$2:$A$36,BS!C$2:C$36,"",0,1)-1, "")</f>
        <v>0.49545802343333545</v>
      </c>
      <c r="C16">
        <f>IFERROR(_xlfn.XLOOKUP($A16,BS!$A$2:$A$36,BS!C$2:C$36," ",0,1)/_xlfn.XLOOKUP($A16,BS!$A$2:$A$36,BS!D$2:D$36,"",0,1)-1, "")</f>
        <v>3.1098099041294569E-2</v>
      </c>
      <c r="D16">
        <f>IFERROR(_xlfn.XLOOKUP($A16,BS!$A$2:$A$36,BS!D$2:D$36," ",0,1)/_xlfn.XLOOKUP($A16,BS!$A$2:$A$36,BS!E$2:E$36,"",0,1)-1, "")</f>
        <v>5.1955867602808459E-2</v>
      </c>
      <c r="E16">
        <f>IFERROR(_xlfn.XLOOKUP($A16,BS!$A$2:$A$36,BS!E$2:E$36," ",0,1)/_xlfn.XLOOKUP($A16,BS!$A$2:$A$36,BS!F$2:F$36,"",0,1)-1, "")</f>
        <v>-0.23594529736780023</v>
      </c>
    </row>
    <row r="17" spans="1:5" ht="29" x14ac:dyDescent="0.35">
      <c r="A17" s="1" t="s">
        <v>34</v>
      </c>
      <c r="B17">
        <f>IFERROR(_xlfn.XLOOKUP($A17,BS!$A$2:$A$36,BS!B$2:B$36," ",0,1)/_xlfn.XLOOKUP($A17,BS!$A$2:$A$36,BS!C$2:C$36,"",0,1)-1, "")</f>
        <v>0.31455766561316301</v>
      </c>
      <c r="C17">
        <f>IFERROR(_xlfn.XLOOKUP($A17,BS!$A$2:$A$36,BS!C$2:C$36," ",0,1)/_xlfn.XLOOKUP($A17,BS!$A$2:$A$36,BS!D$2:D$36,"",0,1)-1, "")</f>
        <v>-1.3923742281235718E-2</v>
      </c>
      <c r="D17">
        <f>IFERROR(_xlfn.XLOOKUP($A17,BS!$A$2:$A$36,BS!D$2:D$36," ",0,1)/_xlfn.XLOOKUP($A17,BS!$A$2:$A$36,BS!E$2:E$36,"",0,1)-1, "")</f>
        <v>7.1602672138840084E-2</v>
      </c>
      <c r="E17">
        <f>IFERROR(_xlfn.XLOOKUP($A17,BS!$A$2:$A$36,BS!E$2:E$36," ",0,1)/_xlfn.XLOOKUP($A17,BS!$A$2:$A$36,BS!F$2:F$36,"",0,1)-1, "")</f>
        <v>20.13144645827861</v>
      </c>
    </row>
    <row r="18" spans="1:5" x14ac:dyDescent="0.35">
      <c r="A18" s="1" t="s">
        <v>35</v>
      </c>
      <c r="B18">
        <f>IFERROR(_xlfn.XLOOKUP($A18,BS!$A$2:$A$36,BS!B$2:B$36," ",0,1)/_xlfn.XLOOKUP($A18,BS!$A$2:$A$36,BS!C$2:C$36,"",0,1)-1, "")</f>
        <v>0.10427454563915139</v>
      </c>
      <c r="C18">
        <f>IFERROR(_xlfn.XLOOKUP($A18,BS!$A$2:$A$36,BS!C$2:C$36," ",0,1)/_xlfn.XLOOKUP($A18,BS!$A$2:$A$36,BS!D$2:D$36,"",0,1)-1, "")</f>
        <v>2.5684782608695649</v>
      </c>
      <c r="D18">
        <f>IFERROR(_xlfn.XLOOKUP($A18,BS!$A$2:$A$36,BS!D$2:D$36," ",0,1)/_xlfn.XLOOKUP($A18,BS!$A$2:$A$36,BS!E$2:E$36,"",0,1)-1, "")</f>
        <v>5.287015945330297</v>
      </c>
      <c r="E18">
        <f>IFERROR(_xlfn.XLOOKUP($A18,BS!$A$2:$A$36,BS!E$2:E$36," ",0,1)/_xlfn.XLOOKUP($A18,BS!$A$2:$A$36,BS!F$2:F$36,"",0,1)-1, "")</f>
        <v>-0.95717073170731704</v>
      </c>
    </row>
    <row r="19" spans="1:5" x14ac:dyDescent="0.35">
      <c r="A19" s="1" t="s">
        <v>36</v>
      </c>
      <c r="B19">
        <f>IFERROR(_xlfn.XLOOKUP($A19,BS!$A$2:$A$36,BS!B$2:B$36," ",0,1)/_xlfn.XLOOKUP($A19,BS!$A$2:$A$36,BS!C$2:C$36,"",0,1)-1, "")</f>
        <v>-0.92157336490371833</v>
      </c>
      <c r="C19">
        <f>IFERROR(_xlfn.XLOOKUP($A19,BS!$A$2:$A$36,BS!C$2:C$36," ",0,1)/_xlfn.XLOOKUP($A19,BS!$A$2:$A$36,BS!D$2:D$36,"",0,1)-1, "")</f>
        <v>0.1404913131535801</v>
      </c>
      <c r="D19">
        <f>IFERROR(_xlfn.XLOOKUP($A19,BS!$A$2:$A$36,BS!D$2:D$36," ",0,1)/_xlfn.XLOOKUP($A19,BS!$A$2:$A$36,BS!E$2:E$36,"",0,1)-1, "")</f>
        <v>-0.20529721562229697</v>
      </c>
      <c r="E19">
        <f>IFERROR(_xlfn.XLOOKUP($A19,BS!$A$2:$A$36,BS!E$2:E$36," ",0,1)/_xlfn.XLOOKUP($A19,BS!$A$2:$A$36,BS!F$2:F$36,"",0,1)-1, "")</f>
        <v>3.7879947575360413</v>
      </c>
    </row>
    <row r="20" spans="1:5" x14ac:dyDescent="0.35">
      <c r="A20" s="2" t="s">
        <v>37</v>
      </c>
      <c r="B20">
        <f>IFERROR(_xlfn.XLOOKUP($A20,BS!$A$2:$A$36,BS!B$2:B$36," ",0,1)/_xlfn.XLOOKUP($A20,BS!$A$2:$A$36,BS!C$2:C$36,"",0,1)-1, "")</f>
        <v>0.20795558892085819</v>
      </c>
      <c r="C20">
        <f>IFERROR(_xlfn.XLOOKUP($A20,BS!$A$2:$A$36,BS!C$2:C$36," ",0,1)/_xlfn.XLOOKUP($A20,BS!$A$2:$A$36,BS!D$2:D$36,"",0,1)-1, "")</f>
        <v>3.771782109212074E-2</v>
      </c>
      <c r="D20">
        <f>IFERROR(_xlfn.XLOOKUP($A20,BS!$A$2:$A$36,BS!D$2:D$36," ",0,1)/_xlfn.XLOOKUP($A20,BS!$A$2:$A$36,BS!E$2:E$36,"",0,1)-1, "")</f>
        <v>3.8808902418864921E-2</v>
      </c>
      <c r="E20">
        <f>IFERROR(_xlfn.XLOOKUP($A20,BS!$A$2:$A$36,BS!E$2:E$36," ",0,1)/_xlfn.XLOOKUP($A20,BS!$A$2:$A$36,BS!F$2:F$36,"",0,1)-1, "")</f>
        <v>8.8841293934294185E-3</v>
      </c>
    </row>
    <row r="21" spans="1:5" x14ac:dyDescent="0.35">
      <c r="A21" s="1"/>
    </row>
    <row r="22" spans="1:5" x14ac:dyDescent="0.35">
      <c r="A22" s="2" t="s">
        <v>38</v>
      </c>
    </row>
    <row r="23" spans="1:5" x14ac:dyDescent="0.35">
      <c r="A23" s="2" t="s">
        <v>39</v>
      </c>
    </row>
    <row r="24" spans="1:5" x14ac:dyDescent="0.35">
      <c r="A24" s="1" t="s">
        <v>40</v>
      </c>
    </row>
    <row r="25" spans="1:5" x14ac:dyDescent="0.35">
      <c r="A25" s="1" t="s">
        <v>41</v>
      </c>
    </row>
    <row r="26" spans="1:5" x14ac:dyDescent="0.35">
      <c r="A26" s="2" t="s">
        <v>42</v>
      </c>
    </row>
    <row r="27" spans="1:5" x14ac:dyDescent="0.35">
      <c r="A27" s="1" t="s">
        <v>43</v>
      </c>
    </row>
    <row r="28" spans="1:5" x14ac:dyDescent="0.35">
      <c r="A28" s="1" t="s">
        <v>44</v>
      </c>
    </row>
    <row r="29" spans="1:5" x14ac:dyDescent="0.35">
      <c r="A29" s="1" t="s">
        <v>45</v>
      </c>
    </row>
    <row r="30" spans="1:5" x14ac:dyDescent="0.35">
      <c r="A30" s="1" t="s">
        <v>46</v>
      </c>
    </row>
    <row r="31" spans="1:5" x14ac:dyDescent="0.35">
      <c r="A31" s="2" t="s">
        <v>47</v>
      </c>
    </row>
    <row r="32" spans="1:5" x14ac:dyDescent="0.35">
      <c r="A32" s="1" t="s">
        <v>48</v>
      </c>
    </row>
    <row r="33" spans="1:1" x14ac:dyDescent="0.35">
      <c r="A33" s="1" t="s">
        <v>44</v>
      </c>
    </row>
    <row r="34" spans="1:1" x14ac:dyDescent="0.35">
      <c r="A34" s="1" t="s">
        <v>49</v>
      </c>
    </row>
    <row r="35" spans="1:1" x14ac:dyDescent="0.35">
      <c r="A35" s="1" t="s">
        <v>50</v>
      </c>
    </row>
    <row r="36" spans="1:1" x14ac:dyDescent="0.35">
      <c r="A36" s="2" t="s">
        <v>51</v>
      </c>
    </row>
  </sheetData>
  <sheetProtection algorithmName="SHA-512" hashValue="B0gTkW3td57xgf96MCr0zt9CYXlFvjGSqRYbqJ2is4HWtXYR8fhYedIOcibQljCiHvh7A4VneaTLvIbvXRXWhQ==" saltValue="g5Nm6HU/zE7m3R3Jou/cfg==" spinCount="100000"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516C2-C1AE-420D-A3CB-366944F5C483}">
  <dimension ref="A1:F27"/>
  <sheetViews>
    <sheetView workbookViewId="0">
      <selection activeCell="J12" sqref="A1:XFD1048576"/>
    </sheetView>
  </sheetViews>
  <sheetFormatPr defaultRowHeight="14.5" x14ac:dyDescent="0.35"/>
  <cols>
    <col min="1" max="1" width="47.08984375" customWidth="1"/>
    <col min="2" max="2" width="11.90625" bestFit="1" customWidth="1"/>
    <col min="3" max="3" width="10.453125" customWidth="1"/>
    <col min="4" max="4" width="9.90625" customWidth="1"/>
    <col min="5" max="5" width="10.453125" customWidth="1"/>
  </cols>
  <sheetData>
    <row r="1" spans="1:6" ht="17.5" customHeight="1" x14ac:dyDescent="0.35">
      <c r="A1" s="3" t="s">
        <v>67</v>
      </c>
    </row>
    <row r="2" spans="1:6" x14ac:dyDescent="0.35">
      <c r="A2" s="2" t="s">
        <v>0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</row>
    <row r="3" spans="1:6" x14ac:dyDescent="0.35">
      <c r="A3" s="2" t="s">
        <v>1</v>
      </c>
    </row>
    <row r="4" spans="1:6" x14ac:dyDescent="0.35">
      <c r="A4" s="1" t="s">
        <v>52</v>
      </c>
      <c r="B4" s="11">
        <f>_xlfn.XLOOKUP($A4,IS!$A$2:$A$27,IS!B$2:B$27,"",0,1)/_xlfn.XLOOKUP(ISCOMM!$A$4,IS!$A$2:$A$27,IS!B$2:B$27," ",0,1)</f>
        <v>1</v>
      </c>
      <c r="C4" s="11">
        <f>_xlfn.XLOOKUP($A4,IS!$A$2:$A$27,IS!C$2:C$27,"",0,1)/_xlfn.XLOOKUP(ISCOMM!$A$4,IS!$A$2:$A$27,IS!C$2:C$27," ",0,1)</f>
        <v>1</v>
      </c>
      <c r="D4" s="11">
        <f>_xlfn.XLOOKUP($A4,IS!$A$2:$A$27,IS!D$2:D$27,"",0,1)/_xlfn.XLOOKUP(ISCOMM!$A$4,IS!$A$2:$A$27,IS!D$2:D$27," ",0,1)</f>
        <v>1</v>
      </c>
      <c r="E4" s="11">
        <f>_xlfn.XLOOKUP($A4,IS!$A$2:$A$27,IS!E$2:E$27,"",0,1)/_xlfn.XLOOKUP(ISCOMM!$A$4,IS!$A$2:$A$27,IS!E$2:E$27," ",0,1)</f>
        <v>1</v>
      </c>
      <c r="F4" s="11">
        <f>_xlfn.XLOOKUP($A4,IS!$A$2:$A$27,IS!F$2:F$27,"",0,1)/_xlfn.XLOOKUP(ISCOMM!$A$4,IS!$A$2:$A$27,IS!F$2:F$27," ",0,1)</f>
        <v>1</v>
      </c>
    </row>
    <row r="5" spans="1:6" x14ac:dyDescent="0.35">
      <c r="A5" s="1" t="s">
        <v>53</v>
      </c>
      <c r="B5" s="11">
        <f>_xlfn.XLOOKUP($A5,IS!$A$2:$A$27,IS!B$2:B$27,"",0,1)/_xlfn.XLOOKUP(ISCOMM!$A$4,IS!$A$2:$A$27,IS!B$2:B$27," ",0,1)</f>
        <v>7.6589862359291074E-3</v>
      </c>
      <c r="C5" s="11">
        <f>_xlfn.XLOOKUP($A5,IS!$A$2:$A$27,IS!C$2:C$27,"",0,1)/_xlfn.XLOOKUP(ISCOMM!$A$4,IS!$A$2:$A$27,IS!C$2:C$27," ",0,1)</f>
        <v>7.0214111001053008E-3</v>
      </c>
      <c r="D5" s="11">
        <f>_xlfn.XLOOKUP($A5,IS!$A$2:$A$27,IS!D$2:D$27,"",0,1)/_xlfn.XLOOKUP(ISCOMM!$A$4,IS!$A$2:$A$27,IS!D$2:D$27," ",0,1)</f>
        <v>8.1634403042428506E-3</v>
      </c>
      <c r="E5" s="11">
        <f>_xlfn.XLOOKUP($A5,IS!$A$2:$A$27,IS!E$2:E$27,"",0,1)/_xlfn.XLOOKUP(ISCOMM!$A$4,IS!$A$2:$A$27,IS!E$2:E$27," ",0,1)</f>
        <v>1.0139308096605217E-2</v>
      </c>
      <c r="F5" s="11">
        <f>_xlfn.XLOOKUP($A5,IS!$A$2:$A$27,IS!F$2:F$27,"",0,1)/_xlfn.XLOOKUP(ISCOMM!$A$4,IS!$A$2:$A$27,IS!F$2:F$27," ",0,1)</f>
        <v>1.017367524449383E-2</v>
      </c>
    </row>
    <row r="6" spans="1:6" x14ac:dyDescent="0.35">
      <c r="A6" s="2" t="s">
        <v>54</v>
      </c>
      <c r="B6" s="11">
        <f>_xlfn.XLOOKUP($A6,IS!$A$2:$A$27,IS!B$2:B$27,"",0,1)/_xlfn.XLOOKUP(ISCOMM!$A$4,IS!$A$2:$A$27,IS!B$2:B$27," ",0,1)</f>
        <v>1.0076589862359291</v>
      </c>
      <c r="C6" s="11">
        <f>_xlfn.XLOOKUP($A6,IS!$A$2:$A$27,IS!C$2:C$27,"",0,1)/_xlfn.XLOOKUP(ISCOMM!$A$4,IS!$A$2:$A$27,IS!C$2:C$27," ",0,1)</f>
        <v>1.0070214111001055</v>
      </c>
      <c r="D6" s="11">
        <f>_xlfn.XLOOKUP($A6,IS!$A$2:$A$27,IS!D$2:D$27,"",0,1)/_xlfn.XLOOKUP(ISCOMM!$A$4,IS!$A$2:$A$27,IS!D$2:D$27," ",0,1)</f>
        <v>1.0081634403042428</v>
      </c>
      <c r="E6" s="11">
        <f>_xlfn.XLOOKUP($A6,IS!$A$2:$A$27,IS!E$2:E$27,"",0,1)/_xlfn.XLOOKUP(ISCOMM!$A$4,IS!$A$2:$A$27,IS!E$2:E$27," ",0,1)</f>
        <v>1.0101393080966052</v>
      </c>
      <c r="F6" s="11">
        <f>_xlfn.XLOOKUP($A6,IS!$A$2:$A$27,IS!F$2:F$27,"",0,1)/_xlfn.XLOOKUP(ISCOMM!$A$4,IS!$A$2:$A$27,IS!F$2:F$27," ",0,1)</f>
        <v>1.0101736752444936</v>
      </c>
    </row>
    <row r="7" spans="1:6" x14ac:dyDescent="0.35">
      <c r="A7" s="2" t="s">
        <v>2</v>
      </c>
      <c r="B7" s="11">
        <f>_xlfn.XLOOKUP($A7,IS!$A$2:$A$27,IS!B$2:B$27,"",0,1)/_xlfn.XLOOKUP(ISCOMM!$A$4,IS!$A$2:$A$27,IS!B$2:B$27," ",0,1)</f>
        <v>1.5806797137214019E-2</v>
      </c>
      <c r="C7" s="11">
        <f>_xlfn.XLOOKUP($A7,IS!$A$2:$A$27,IS!C$2:C$27,"",0,1)/_xlfn.XLOOKUP(ISCOMM!$A$4,IS!$A$2:$A$27,IS!C$2:C$27," ",0,1)</f>
        <v>1.2572045690245035E-2</v>
      </c>
      <c r="D7" s="11">
        <f>_xlfn.XLOOKUP($A7,IS!$A$2:$A$27,IS!D$2:D$27,"",0,1)/_xlfn.XLOOKUP(ISCOMM!$A$4,IS!$A$2:$A$27,IS!D$2:D$27," ",0,1)</f>
        <v>1.4076287244056596E-2</v>
      </c>
      <c r="E7" s="11">
        <f>_xlfn.XLOOKUP($A7,IS!$A$2:$A$27,IS!E$2:E$27,"",0,1)/_xlfn.XLOOKUP(ISCOMM!$A$4,IS!$A$2:$A$27,IS!E$2:E$27," ",0,1)</f>
        <v>1.8105048197581627E-2</v>
      </c>
      <c r="F7" s="11">
        <f>_xlfn.XLOOKUP($A7,IS!$A$2:$A$27,IS!F$2:F$27,"",0,1)/_xlfn.XLOOKUP(ISCOMM!$A$4,IS!$A$2:$A$27,IS!F$2:F$27," ",0,1)</f>
        <v>3.1804664331496098E-2</v>
      </c>
    </row>
    <row r="8" spans="1:6" x14ac:dyDescent="0.35">
      <c r="A8" s="2" t="s">
        <v>15</v>
      </c>
      <c r="B8" s="11">
        <f>_xlfn.XLOOKUP($A8,IS!$A$2:$A$27,IS!B$2:B$27,"",0,1)/_xlfn.XLOOKUP(ISCOMM!$A$4,IS!$A$2:$A$27,IS!B$2:B$27," ",0,1)</f>
        <v>1.0234657833731433</v>
      </c>
      <c r="C8" s="11">
        <f>_xlfn.XLOOKUP($A8,IS!$A$2:$A$27,IS!C$2:C$27,"",0,1)/_xlfn.XLOOKUP(ISCOMM!$A$4,IS!$A$2:$A$27,IS!C$2:C$27," ",0,1)</f>
        <v>1.0195934567903504</v>
      </c>
      <c r="D8" s="11">
        <f>_xlfn.XLOOKUP($A8,IS!$A$2:$A$27,IS!D$2:D$27,"",0,1)/_xlfn.XLOOKUP(ISCOMM!$A$4,IS!$A$2:$A$27,IS!D$2:D$27," ",0,1)</f>
        <v>1.0222397275482993</v>
      </c>
      <c r="E8" s="11">
        <f>_xlfn.XLOOKUP($A8,IS!$A$2:$A$27,IS!E$2:E$27,"",0,1)/_xlfn.XLOOKUP(ISCOMM!$A$4,IS!$A$2:$A$27,IS!E$2:E$27," ",0,1)</f>
        <v>1.0282443562941868</v>
      </c>
      <c r="F8" s="11">
        <f>_xlfn.XLOOKUP($A8,IS!$A$2:$A$27,IS!F$2:F$27,"",0,1)/_xlfn.XLOOKUP(ISCOMM!$A$4,IS!$A$2:$A$27,IS!F$2:F$27," ",0,1)</f>
        <v>1.0419783395759898</v>
      </c>
    </row>
    <row r="9" spans="1:6" x14ac:dyDescent="0.35">
      <c r="A9" s="2" t="s">
        <v>3</v>
      </c>
      <c r="B9" s="11"/>
      <c r="C9" s="11"/>
      <c r="D9" s="11"/>
      <c r="E9" s="11"/>
      <c r="F9" s="11"/>
    </row>
    <row r="10" spans="1:6" x14ac:dyDescent="0.35">
      <c r="A10" s="1" t="s">
        <v>4</v>
      </c>
      <c r="B10" s="11">
        <f>_xlfn.XLOOKUP($A10,IS!$A$2:$A$27,IS!B$2:B$27,"",0,1)/_xlfn.XLOOKUP(ISCOMM!$A$4,IS!$A$2:$A$27,IS!B$2:B$27," ",0,1)</f>
        <v>0.64274779946421734</v>
      </c>
      <c r="C10" s="11">
        <f>_xlfn.XLOOKUP($A10,IS!$A$2:$A$27,IS!C$2:C$27,"",0,1)/_xlfn.XLOOKUP(ISCOMM!$A$4,IS!$A$2:$A$27,IS!C$2:C$27," ",0,1)</f>
        <v>0.64667013992897882</v>
      </c>
      <c r="D10" s="11">
        <f>_xlfn.XLOOKUP($A10,IS!$A$2:$A$27,IS!D$2:D$27,"",0,1)/_xlfn.XLOOKUP(ISCOMM!$A$4,IS!$A$2:$A$27,IS!D$2:D$27," ",0,1)</f>
        <v>0.67603358036320493</v>
      </c>
      <c r="E10" s="11">
        <f>_xlfn.XLOOKUP($A10,IS!$A$2:$A$27,IS!E$2:E$27,"",0,1)/_xlfn.XLOOKUP(ISCOMM!$A$4,IS!$A$2:$A$27,IS!E$2:E$27," ",0,1)</f>
        <v>0.61197365343489252</v>
      </c>
      <c r="F10" s="11">
        <f>_xlfn.XLOOKUP($A10,IS!$A$2:$A$27,IS!F$2:F$27,"",0,1)/_xlfn.XLOOKUP(ISCOMM!$A$4,IS!$A$2:$A$27,IS!F$2:F$27," ",0,1)</f>
        <v>0.60184874312878511</v>
      </c>
    </row>
    <row r="11" spans="1:6" x14ac:dyDescent="0.35">
      <c r="A11" s="1" t="s">
        <v>5</v>
      </c>
      <c r="B11" s="11">
        <f>_xlfn.XLOOKUP($A11,IS!$A$2:$A$27,IS!B$2:B$27,"",0,1)/_xlfn.XLOOKUP(ISCOMM!$A$4,IS!$A$2:$A$27,IS!B$2:B$27," ",0,1)</f>
        <v>9.219802292692153E-2</v>
      </c>
      <c r="C11" s="11">
        <f>_xlfn.XLOOKUP($A11,IS!$A$2:$A$27,IS!C$2:C$27,"",0,1)/_xlfn.XLOOKUP(ISCOMM!$A$4,IS!$A$2:$A$27,IS!C$2:C$27," ",0,1)</f>
        <v>0.10048141743406162</v>
      </c>
      <c r="D11" s="11">
        <f>_xlfn.XLOOKUP($A11,IS!$A$2:$A$27,IS!D$2:D$27,"",0,1)/_xlfn.XLOOKUP(ISCOMM!$A$4,IS!$A$2:$A$27,IS!D$2:D$27," ",0,1)</f>
        <v>0.1072930018299536</v>
      </c>
      <c r="E11" s="11">
        <f>_xlfn.XLOOKUP($A11,IS!$A$2:$A$27,IS!E$2:E$27,"",0,1)/_xlfn.XLOOKUP(ISCOMM!$A$4,IS!$A$2:$A$27,IS!E$2:E$27," ",0,1)</f>
        <v>0.16147226155669137</v>
      </c>
      <c r="F11" s="11">
        <f>_xlfn.XLOOKUP($A11,IS!$A$2:$A$27,IS!F$2:F$27,"",0,1)/_xlfn.XLOOKUP(ISCOMM!$A$4,IS!$A$2:$A$27,IS!F$2:F$27," ",0,1)</f>
        <v>0.13061701117791202</v>
      </c>
    </row>
    <row r="12" spans="1:6" x14ac:dyDescent="0.35">
      <c r="A12" s="1" t="s">
        <v>62</v>
      </c>
      <c r="B12" s="11">
        <f>_xlfn.XLOOKUP($A12,IS!$A$2:$A$27,IS!B$2:B$27,"",0,1)/_xlfn.XLOOKUP(ISCOMM!$A$4,IS!$A$2:$A$27,IS!B$2:B$27," ",0,1)</f>
        <v>2.3868692567225763E-2</v>
      </c>
      <c r="C12" s="11">
        <f>_xlfn.XLOOKUP($A12,IS!$A$2:$A$27,IS!C$2:C$27,"",0,1)/_xlfn.XLOOKUP(ISCOMM!$A$4,IS!$A$2:$A$27,IS!C$2:C$27," ",0,1)</f>
        <v>7.4226433425157324E-3</v>
      </c>
      <c r="D12" s="11">
        <f>_xlfn.XLOOKUP($A12,IS!$A$2:$A$27,IS!D$2:D$27,"",0,1)/_xlfn.XLOOKUP(ISCOMM!$A$4,IS!$A$2:$A$27,IS!D$2:D$27," ",0,1)</f>
        <v>-8.6147961528952998E-3</v>
      </c>
      <c r="E12" s="11">
        <f>_xlfn.XLOOKUP($A12,IS!$A$2:$A$27,IS!E$2:E$27,"",0,1)/_xlfn.XLOOKUP(ISCOMM!$A$4,IS!$A$2:$A$27,IS!E$2:E$27," ",0,1)</f>
        <v>-2.3299274324685097E-3</v>
      </c>
      <c r="F12" s="11">
        <f>_xlfn.XLOOKUP($A12,IS!$A$2:$A$27,IS!F$2:F$27,"",0,1)/_xlfn.XLOOKUP(ISCOMM!$A$4,IS!$A$2:$A$27,IS!F$2:F$27," ",0,1)</f>
        <v>1.6618773593930516E-2</v>
      </c>
    </row>
    <row r="13" spans="1:6" x14ac:dyDescent="0.35">
      <c r="A13" s="1" t="s">
        <v>6</v>
      </c>
      <c r="B13" s="11">
        <f>_xlfn.XLOOKUP($A13,IS!$A$2:$A$27,IS!B$2:B$27,"",0,1)/_xlfn.XLOOKUP(ISCOMM!$A$4,IS!$A$2:$A$27,IS!B$2:B$27," ",0,1)</f>
        <v>5.922187801047811E-2</v>
      </c>
      <c r="C13" s="11">
        <f>_xlfn.XLOOKUP($A13,IS!$A$2:$A$27,IS!C$2:C$27,"",0,1)/_xlfn.XLOOKUP(ISCOMM!$A$4,IS!$A$2:$A$27,IS!C$2:C$27," ",0,1)</f>
        <v>6.1588077215460495E-2</v>
      </c>
      <c r="D13" s="11">
        <f>_xlfn.XLOOKUP($A13,IS!$A$2:$A$27,IS!D$2:D$27,"",0,1)/_xlfn.XLOOKUP(ISCOMM!$A$4,IS!$A$2:$A$27,IS!D$2:D$27," ",0,1)</f>
        <v>7.6822429228746769E-2</v>
      </c>
      <c r="E13" s="11">
        <f>_xlfn.XLOOKUP($A13,IS!$A$2:$A$27,IS!E$2:E$27,"",0,1)/_xlfn.XLOOKUP(ISCOMM!$A$4,IS!$A$2:$A$27,IS!E$2:E$27," ",0,1)</f>
        <v>8.5648029323408231E-2</v>
      </c>
      <c r="F13" s="11">
        <f>_xlfn.XLOOKUP($A13,IS!$A$2:$A$27,IS!F$2:F$27,"",0,1)/_xlfn.XLOOKUP(ISCOMM!$A$4,IS!$A$2:$A$27,IS!F$2:F$27," ",0,1)</f>
        <v>0.10082174026623889</v>
      </c>
    </row>
    <row r="14" spans="1:6" x14ac:dyDescent="0.35">
      <c r="A14" s="1" t="s">
        <v>7</v>
      </c>
      <c r="B14" s="11">
        <f>_xlfn.XLOOKUP($A14,IS!$A$2:$A$27,IS!B$2:B$27,"",0,1)/_xlfn.XLOOKUP(ISCOMM!$A$4,IS!$A$2:$A$27,IS!B$2:B$27," ",0,1)</f>
        <v>2.3447912955118309E-2</v>
      </c>
      <c r="C14" s="11">
        <f>_xlfn.XLOOKUP($A14,IS!$A$2:$A$27,IS!C$2:C$27,"",0,1)/_xlfn.XLOOKUP(ISCOMM!$A$4,IS!$A$2:$A$27,IS!C$2:C$27," ",0,1)</f>
        <v>3.1355993460220735E-2</v>
      </c>
      <c r="D14" s="11">
        <f>_xlfn.XLOOKUP($A14,IS!$A$2:$A$27,IS!D$2:D$27,"",0,1)/_xlfn.XLOOKUP(ISCOMM!$A$4,IS!$A$2:$A$27,IS!D$2:D$27," ",0,1)</f>
        <v>4.5257809298741042E-2</v>
      </c>
      <c r="E14" s="11">
        <f>_xlfn.XLOOKUP($A14,IS!$A$2:$A$27,IS!E$2:E$27,"",0,1)/_xlfn.XLOOKUP(ISCOMM!$A$4,IS!$A$2:$A$27,IS!E$2:E$27," ",0,1)</f>
        <v>4.9154638838696127E-2</v>
      </c>
      <c r="F14" s="11">
        <f>_xlfn.XLOOKUP($A14,IS!$A$2:$A$27,IS!F$2:F$27,"",0,1)/_xlfn.XLOOKUP(ISCOMM!$A$4,IS!$A$2:$A$27,IS!F$2:F$27," ",0,1)</f>
        <v>4.5371174379842963E-2</v>
      </c>
    </row>
    <row r="15" spans="1:6" x14ac:dyDescent="0.35">
      <c r="A15" s="1" t="s">
        <v>8</v>
      </c>
      <c r="B15" s="11">
        <f>_xlfn.XLOOKUP($A15,IS!$A$2:$A$27,IS!B$2:B$27,"",0,1)/_xlfn.XLOOKUP(ISCOMM!$A$4,IS!$A$2:$A$27,IS!B$2:B$27," ",0,1)</f>
        <v>2.7591925430319668E-3</v>
      </c>
      <c r="C15" s="11">
        <f>_xlfn.XLOOKUP($A15,IS!$A$2:$A$27,IS!C$2:C$27,"",0,1)/_xlfn.XLOOKUP(ISCOMM!$A$4,IS!$A$2:$A$27,IS!C$2:C$27," ",0,1)</f>
        <v>4.2843027533107786E-3</v>
      </c>
      <c r="D15" s="11">
        <f>_xlfn.XLOOKUP($A15,IS!$A$2:$A$27,IS!D$2:D$27,"",0,1)/_xlfn.XLOOKUP(ISCOMM!$A$4,IS!$A$2:$A$27,IS!D$2:D$27," ",0,1)</f>
        <v>2.918241666074742E-3</v>
      </c>
      <c r="E15" s="11">
        <f>_xlfn.XLOOKUP($A15,IS!$A$2:$A$27,IS!E$2:E$27,"",0,1)/_xlfn.XLOOKUP(ISCOMM!$A$4,IS!$A$2:$A$27,IS!E$2:E$27," ",0,1)</f>
        <v>6.2328995289671961E-4</v>
      </c>
      <c r="F15" s="11">
        <f>_xlfn.XLOOKUP($A15,IS!$A$2:$A$27,IS!F$2:F$27,"",0,1)/_xlfn.XLOOKUP(ISCOMM!$A$4,IS!$A$2:$A$27,IS!F$2:F$27," ",0,1)</f>
        <v>5.4960520409439778E-3</v>
      </c>
    </row>
    <row r="16" spans="1:6" x14ac:dyDescent="0.35">
      <c r="A16" s="1" t="s">
        <v>9</v>
      </c>
      <c r="B16" s="11">
        <f>_xlfn.XLOOKUP($A16,IS!$A$2:$A$27,IS!B$2:B$27,"",0,1)/_xlfn.XLOOKUP(ISCOMM!$A$4,IS!$A$2:$A$27,IS!B$2:B$27," ",0,1)</f>
        <v>2.7724441453211394E-2</v>
      </c>
      <c r="C16" s="11">
        <f>_xlfn.XLOOKUP($A16,IS!$A$2:$A$27,IS!C$2:C$27,"",0,1)/_xlfn.XLOOKUP(ISCOMM!$A$4,IS!$A$2:$A$27,IS!C$2:C$27," ",0,1)</f>
        <v>2.7058061062034181E-2</v>
      </c>
      <c r="D16" s="11">
        <f>_xlfn.XLOOKUP($A16,IS!$A$2:$A$27,IS!D$2:D$27,"",0,1)/_xlfn.XLOOKUP(ISCOMM!$A$4,IS!$A$2:$A$27,IS!D$2:D$27," ",0,1)</f>
        <v>3.7554043783650376E-2</v>
      </c>
      <c r="E16" s="11">
        <f>_xlfn.XLOOKUP($A16,IS!$A$2:$A$27,IS!E$2:E$27,"",0,1)/_xlfn.XLOOKUP(ISCOMM!$A$4,IS!$A$2:$A$27,IS!E$2:E$27," ",0,1)</f>
        <v>7.1431348219983121E-2</v>
      </c>
      <c r="F16" s="11">
        <f>_xlfn.XLOOKUP($A16,IS!$A$2:$A$27,IS!F$2:F$27,"",0,1)/_xlfn.XLOOKUP(ISCOMM!$A$4,IS!$A$2:$A$27,IS!F$2:F$27," ",0,1)</f>
        <v>7.7618282398651872E-2</v>
      </c>
    </row>
    <row r="17" spans="1:6" x14ac:dyDescent="0.35">
      <c r="A17" s="1" t="s">
        <v>10</v>
      </c>
      <c r="B17" s="11">
        <f>_xlfn.XLOOKUP($A17,IS!$A$2:$A$27,IS!B$2:B$27,"",0,1)/_xlfn.XLOOKUP(ISCOMM!$A$4,IS!$A$2:$A$27,IS!B$2:B$27," ",0,1)</f>
        <v>1.5186968561260892E-2</v>
      </c>
      <c r="C17" s="11">
        <f>_xlfn.XLOOKUP($A17,IS!$A$2:$A$27,IS!C$2:C$27,"",0,1)/_xlfn.XLOOKUP(ISCOMM!$A$4,IS!$A$2:$A$27,IS!C$2:C$27," ",0,1)</f>
        <v>1.3768391597768046E-2</v>
      </c>
      <c r="D17" s="11">
        <f>_xlfn.XLOOKUP($A17,IS!$A$2:$A$27,IS!D$2:D$27,"",0,1)/_xlfn.XLOOKUP(ISCOMM!$A$4,IS!$A$2:$A$27,IS!D$2:D$27," ",0,1)</f>
        <v>1.2668253237934282E-2</v>
      </c>
      <c r="E17" s="11">
        <f>_xlfn.XLOOKUP($A17,IS!$A$2:$A$27,IS!E$2:E$27,"",0,1)/_xlfn.XLOOKUP(ISCOMM!$A$4,IS!$A$2:$A$27,IS!E$2:E$27," ",0,1)</f>
        <v>1.9489946066733262E-2</v>
      </c>
      <c r="F17" s="11">
        <f>_xlfn.XLOOKUP($A17,IS!$A$2:$A$27,IS!F$2:F$27,"",0,1)/_xlfn.XLOOKUP(ISCOMM!$A$4,IS!$A$2:$A$27,IS!F$2:F$27," ",0,1)</f>
        <v>1.909222697269175E-2</v>
      </c>
    </row>
    <row r="18" spans="1:6" x14ac:dyDescent="0.35">
      <c r="A18" s="1" t="s">
        <v>11</v>
      </c>
      <c r="B18" s="11">
        <f>_xlfn.XLOOKUP($A18,IS!$A$2:$A$27,IS!B$2:B$27,"",0,1)/_xlfn.XLOOKUP(ISCOMM!$A$4,IS!$A$2:$A$27,IS!B$2:B$27," ",0,1)</f>
        <v>0.10461273979351694</v>
      </c>
      <c r="C18" s="11">
        <f>_xlfn.XLOOKUP($A18,IS!$A$2:$A$27,IS!C$2:C$27,"",0,1)/_xlfn.XLOOKUP(ISCOMM!$A$4,IS!$A$2:$A$27,IS!C$2:C$27," ",0,1)</f>
        <v>0.11975312272009733</v>
      </c>
      <c r="D18" s="11">
        <f>_xlfn.XLOOKUP($A18,IS!$A$2:$A$27,IS!D$2:D$27,"",0,1)/_xlfn.XLOOKUP(ISCOMM!$A$4,IS!$A$2:$A$27,IS!D$2:D$27," ",0,1)</f>
        <v>0.12838279583378928</v>
      </c>
      <c r="E18" s="11">
        <f>_xlfn.XLOOKUP($A18,IS!$A$2:$A$27,IS!E$2:E$27,"",0,1)/_xlfn.XLOOKUP(ISCOMM!$A$4,IS!$A$2:$A$27,IS!E$2:E$27," ",0,1)</f>
        <v>0.12054453462556103</v>
      </c>
      <c r="F18" s="11">
        <f>_xlfn.XLOOKUP($A18,IS!$A$2:$A$27,IS!F$2:F$27,"",0,1)/_xlfn.XLOOKUP(ISCOMM!$A$4,IS!$A$2:$A$27,IS!F$2:F$27," ",0,1)</f>
        <v>0.17754662675781679</v>
      </c>
    </row>
    <row r="19" spans="1:6" x14ac:dyDescent="0.35">
      <c r="A19" s="1" t="s">
        <v>12</v>
      </c>
      <c r="B19" s="11">
        <f>_xlfn.XLOOKUP($A19,IS!$A$2:$A$27,IS!B$2:B$27,"",0,1)/_xlfn.XLOOKUP(ISCOMM!$A$4,IS!$A$2:$A$27,IS!B$2:B$27," ",0,1)</f>
        <v>-1.5529805657829333E-2</v>
      </c>
      <c r="C19" s="11">
        <f>_xlfn.XLOOKUP($A19,IS!$A$2:$A$27,IS!C$2:C$27,"",0,1)/_xlfn.XLOOKUP(ISCOMM!$A$4,IS!$A$2:$A$27,IS!C$2:C$27," ",0,1)</f>
        <v>-1.6336124807117554E-2</v>
      </c>
      <c r="D19" s="11">
        <f>_xlfn.XLOOKUP($A19,IS!$A$2:$A$27,IS!D$2:D$27,"",0,1)/_xlfn.XLOOKUP(ISCOMM!$A$4,IS!$A$2:$A$27,IS!D$2:D$27," ",0,1)</f>
        <v>-1.9313166941724969E-2</v>
      </c>
      <c r="E19" s="11">
        <f>_xlfn.XLOOKUP($A19,IS!$A$2:$A$27,IS!E$2:E$27,"",0,1)/_xlfn.XLOOKUP(ISCOMM!$A$4,IS!$A$2:$A$27,IS!E$2:E$27," ",0,1)</f>
        <v>-1.7558864065873717E-2</v>
      </c>
      <c r="F19" s="11">
        <f>_xlfn.XLOOKUP($A19,IS!$A$2:$A$27,IS!F$2:F$27,"",0,1)/_xlfn.XLOOKUP(ISCOMM!$A$4,IS!$A$2:$A$27,IS!F$2:F$27," ",0,1)</f>
        <v>-2.6892941505449141E-2</v>
      </c>
    </row>
    <row r="20" spans="1:6" x14ac:dyDescent="0.35">
      <c r="A20" s="2" t="s">
        <v>13</v>
      </c>
      <c r="B20" s="11">
        <f>_xlfn.XLOOKUP($A20,IS!$A$2:$A$27,IS!B$2:B$27,"",0,1)/_xlfn.XLOOKUP(ISCOMM!$A$4,IS!$A$2:$A$27,IS!B$2:B$27," ",0,1)</f>
        <v>0.95286883443085202</v>
      </c>
      <c r="C20" s="11">
        <f>_xlfn.XLOOKUP($A20,IS!$A$2:$A$27,IS!C$2:C$27,"",0,1)/_xlfn.XLOOKUP(ISCOMM!$A$4,IS!$A$2:$A$27,IS!C$2:C$27," ",0,1)</f>
        <v>0.99604602470733028</v>
      </c>
      <c r="D20" s="11">
        <f>_xlfn.XLOOKUP($A20,IS!$A$2:$A$27,IS!D$2:D$27,"",0,1)/_xlfn.XLOOKUP(ISCOMM!$A$4,IS!$A$2:$A$27,IS!D$2:D$27," ",0,1)</f>
        <v>1.0590021921474748</v>
      </c>
      <c r="E20" s="11">
        <f>_xlfn.XLOOKUP($A20,IS!$A$2:$A$27,IS!E$2:E$27,"",0,1)/_xlfn.XLOOKUP(ISCOMM!$A$4,IS!$A$2:$A$27,IS!E$2:E$27," ",0,1)</f>
        <v>1.1005165660460758</v>
      </c>
      <c r="F20" s="11">
        <f>_xlfn.XLOOKUP($A20,IS!$A$2:$A$27,IS!F$2:F$27,"",0,1)/_xlfn.XLOOKUP(ISCOMM!$A$4,IS!$A$2:$A$27,IS!F$2:F$27," ",0,1)</f>
        <v>1.1481376892113648</v>
      </c>
    </row>
    <row r="21" spans="1:6" x14ac:dyDescent="0.35">
      <c r="A21" s="2" t="s">
        <v>55</v>
      </c>
      <c r="B21" s="11">
        <f>_xlfn.XLOOKUP($A21,IS!$A$2:$A$27,IS!B$2:B$27,"",0,1)/_xlfn.XLOOKUP(ISCOMM!$A$4,IS!$A$2:$A$27,IS!B$2:B$27," ",0,1)</f>
        <v>7.0596948942291196E-2</v>
      </c>
      <c r="C21" s="11">
        <f>_xlfn.XLOOKUP($A21,IS!$A$2:$A$27,IS!C$2:C$27,"",0,1)/_xlfn.XLOOKUP(ISCOMM!$A$4,IS!$A$2:$A$27,IS!C$2:C$27," ",0,1)</f>
        <v>2.3547432083020157E-2</v>
      </c>
      <c r="D21" s="11">
        <f>_xlfn.XLOOKUP($A21,IS!$A$2:$A$27,IS!D$2:D$27,"",0,1)/_xlfn.XLOOKUP(ISCOMM!$A$4,IS!$A$2:$A$27,IS!D$2:D$27," ",0,1)</f>
        <v>-3.6762464599175315E-2</v>
      </c>
      <c r="E21" s="11">
        <f>_xlfn.XLOOKUP($A21,IS!$A$2:$A$27,IS!E$2:E$27,"",0,1)/_xlfn.XLOOKUP(ISCOMM!$A$4,IS!$A$2:$A$27,IS!E$2:E$27," ",0,1)</f>
        <v>-7.227220975188893E-2</v>
      </c>
      <c r="F21" s="11">
        <f>_xlfn.XLOOKUP($A21,IS!$A$2:$A$27,IS!F$2:F$27,"",0,1)/_xlfn.XLOOKUP(ISCOMM!$A$4,IS!$A$2:$A$27,IS!F$2:F$27," ",0,1)</f>
        <v>-0.10615934963537489</v>
      </c>
    </row>
    <row r="22" spans="1:6" x14ac:dyDescent="0.35">
      <c r="A22" s="1" t="s">
        <v>18</v>
      </c>
      <c r="B22" s="11">
        <f>_xlfn.XLOOKUP($A22,IS!$A$2:$A$27,IS!B$2:B$27,"",0,1)/_xlfn.XLOOKUP(ISCOMM!$A$4,IS!$A$2:$A$27,IS!B$2:B$27," ",0,1)</f>
        <v>-3.860573898852334E-2</v>
      </c>
      <c r="C22" s="11">
        <f>_xlfn.XLOOKUP($A22,IS!$A$2:$A$27,IS!C$2:C$27,"",0,1)/_xlfn.XLOOKUP(ISCOMM!$A$4,IS!$A$2:$A$27,IS!C$2:C$27," ",0,1)</f>
        <v>4.3311642289510814E-3</v>
      </c>
      <c r="D22" s="11">
        <f>_xlfn.XLOOKUP($A22,IS!$A$2:$A$27,IS!D$2:D$27,"",0,1)/_xlfn.XLOOKUP(ISCOMM!$A$4,IS!$A$2:$A$27,IS!D$2:D$27," ",0,1)</f>
        <v>-1.7791867361106222E-3</v>
      </c>
      <c r="E22" s="11">
        <f>_xlfn.XLOOKUP($A22,IS!$A$2:$A$27,IS!E$2:E$27,"",0,1)/_xlfn.XLOOKUP(ISCOMM!$A$4,IS!$A$2:$A$27,IS!E$2:E$27," ",0,1)</f>
        <v>-8.1294020389871947E-4</v>
      </c>
      <c r="F22" s="11">
        <f>_xlfn.XLOOKUP($A22,IS!$A$2:$A$27,IS!F$2:F$27,"",0,1)/_xlfn.XLOOKUP(ISCOMM!$A$4,IS!$A$2:$A$27,IS!F$2:F$27," ",0,1)</f>
        <v>5.7741200797686416E-2</v>
      </c>
    </row>
    <row r="23" spans="1:6" x14ac:dyDescent="0.35">
      <c r="A23" s="2" t="s">
        <v>56</v>
      </c>
      <c r="B23" s="11">
        <f>_xlfn.XLOOKUP($A23,IS!$A$2:$A$27,IS!B$2:B$27,"",0,1)/_xlfn.XLOOKUP(ISCOMM!$A$4,IS!$A$2:$A$27,IS!B$2:B$27," ",0,1)</f>
        <v>0.10792110402892698</v>
      </c>
      <c r="C23" s="11">
        <f>_xlfn.XLOOKUP($A23,IS!$A$2:$A$27,IS!C$2:C$27,"",0,1)/_xlfn.XLOOKUP(ISCOMM!$A$4,IS!$A$2:$A$27,IS!C$2:C$27," ",0,1)</f>
        <v>1.9216267854069078E-2</v>
      </c>
      <c r="D23" s="11">
        <f>_xlfn.XLOOKUP($A23,IS!$A$2:$A$27,IS!D$2:D$27,"",0,1)/_xlfn.XLOOKUP(ISCOMM!$A$4,IS!$A$2:$A$27,IS!D$2:D$27," ",0,1)</f>
        <v>-2.6610797515495093E-2</v>
      </c>
      <c r="E23" s="11">
        <f>_xlfn.XLOOKUP($A23,IS!$A$2:$A$27,IS!E$2:E$27,"",0,1)/_xlfn.XLOOKUP(ISCOMM!$A$4,IS!$A$2:$A$27,IS!E$2:E$27," ",0,1)</f>
        <v>-5.0482190595710123E-2</v>
      </c>
      <c r="F23" s="11">
        <f>_xlfn.XLOOKUP($A23,IS!$A$2:$A$27,IS!F$2:F$27,"",0,1)/_xlfn.XLOOKUP(ISCOMM!$A$4,IS!$A$2:$A$27,IS!F$2:F$27," ",0,1)</f>
        <v>-0.16390055043306131</v>
      </c>
    </row>
    <row r="24" spans="1:6" x14ac:dyDescent="0.35">
      <c r="A24" s="1" t="s">
        <v>14</v>
      </c>
      <c r="B24" s="11">
        <f>_xlfn.XLOOKUP($A24,IS!$A$2:$A$27,IS!B$2:B$27,"",0,1)/_xlfn.XLOOKUP(ISCOMM!$A$4,IS!$A$2:$A$27,IS!B$2:B$27," ",0,1)</f>
        <v>-7.0464432919399469E-4</v>
      </c>
      <c r="C24" s="11">
        <f>_xlfn.XLOOKUP($A24,IS!$A$2:$A$27,IS!C$2:C$27,"",0,1)/_xlfn.XLOOKUP(ISCOMM!$A$4,IS!$A$2:$A$27,IS!C$2:C$27," ",0,1)</f>
        <v>-2.2562881668342041E-2</v>
      </c>
      <c r="D24" s="11">
        <f>_xlfn.XLOOKUP($A24,IS!$A$2:$A$27,IS!D$2:D$27,"",0,1)/_xlfn.XLOOKUP(ISCOMM!$A$4,IS!$A$2:$A$27,IS!D$2:D$27," ",0,1)</f>
        <v>3.0571039805703678E-3</v>
      </c>
      <c r="E24" s="11">
        <f>_xlfn.XLOOKUP($A24,IS!$A$2:$A$27,IS!E$2:E$27,"",0,1)/_xlfn.XLOOKUP(ISCOMM!$A$4,IS!$A$2:$A$27,IS!E$2:E$27," ",0,1)</f>
        <v>1.7798772707288478E-3</v>
      </c>
      <c r="F24" s="11">
        <f>_xlfn.XLOOKUP($A24,IS!$A$2:$A$27,IS!F$2:F$27,"",0,1)/_xlfn.XLOOKUP(ISCOMM!$A$4,IS!$A$2:$A$27,IS!F$2:F$27," ",0,1)</f>
        <v>3.7320263001037576E-3</v>
      </c>
    </row>
    <row r="25" spans="1:6" x14ac:dyDescent="0.35">
      <c r="A25" s="2" t="s">
        <v>19</v>
      </c>
      <c r="B25" s="11">
        <f>_xlfn.XLOOKUP($A25,IS!$A$2:$A$27,IS!B$2:B$27,"",0,1)/_xlfn.XLOOKUP(ISCOMM!$A$4,IS!$A$2:$A$27,IS!B$2:B$27," ",0,1)</f>
        <v>0.10862574835812099</v>
      </c>
      <c r="C25" s="11">
        <f>_xlfn.XLOOKUP($A25,IS!$A$2:$A$27,IS!C$2:C$27,"",0,1)/_xlfn.XLOOKUP(ISCOMM!$A$4,IS!$A$2:$A$27,IS!C$2:C$27," ",0,1)</f>
        <v>4.1779149522411123E-2</v>
      </c>
      <c r="D25" s="11">
        <f>_xlfn.XLOOKUP($A25,IS!$A$2:$A$27,IS!D$2:D$27,"",0,1)/_xlfn.XLOOKUP(ISCOMM!$A$4,IS!$A$2:$A$27,IS!D$2:D$27," ",0,1)</f>
        <v>-2.966790149606546E-2</v>
      </c>
      <c r="E25" s="11">
        <f>_xlfn.XLOOKUP($A25,IS!$A$2:$A$27,IS!E$2:E$27,"",0,1)/_xlfn.XLOOKUP(ISCOMM!$A$4,IS!$A$2:$A$27,IS!E$2:E$27," ",0,1)</f>
        <v>-5.1449127662540256E-2</v>
      </c>
      <c r="F25" s="11">
        <f>_xlfn.XLOOKUP($A25,IS!$A$2:$A$27,IS!F$2:F$27,"",0,1)/_xlfn.XLOOKUP(ISCOMM!$A$4,IS!$A$2:$A$27,IS!F$2:F$27," ",0,1)</f>
        <v>-0.16763257673316506</v>
      </c>
    </row>
    <row r="26" spans="1:6" x14ac:dyDescent="0.35">
      <c r="A26" s="1" t="s">
        <v>16</v>
      </c>
      <c r="B26" s="11">
        <f>_xlfn.XLOOKUP($A26,IS!$A$2:$A$27,IS!B$2:B$27,"",0,1)/_xlfn.XLOOKUP(ISCOMM!$A$4,IS!$A$2:$A$27,IS!B$2:B$27," ",0,1)</f>
        <v>6.0011613022421051E-3</v>
      </c>
      <c r="C26" s="11">
        <f>_xlfn.XLOOKUP($A26,IS!$A$2:$A$27,IS!C$2:C$27,"",0,1)/_xlfn.XLOOKUP(ISCOMM!$A$4,IS!$A$2:$A$27,IS!C$2:C$27," ",0,1)</f>
        <v>-4.234225294048103E-3</v>
      </c>
      <c r="D26" s="11">
        <f>_xlfn.XLOOKUP($A26,IS!$A$2:$A$27,IS!D$2:D$27,"",0,1)/_xlfn.XLOOKUP(ISCOMM!$A$4,IS!$A$2:$A$27,IS!D$2:D$27," ",0,1)</f>
        <v>2.6381706692502312E-3</v>
      </c>
      <c r="E26" s="11">
        <f>_xlfn.XLOOKUP($A26,IS!$A$2:$A$27,IS!E$2:E$27,"",0,1)/_xlfn.XLOOKUP(ISCOMM!$A$4,IS!$A$2:$A$27,IS!E$2:E$27," ",0,1)</f>
        <v>9.5145146875850392E-3</v>
      </c>
      <c r="F26" s="11">
        <f>_xlfn.XLOOKUP($A26,IS!$A$2:$A$27,IS!F$2:F$27,"",0,1)/_xlfn.XLOOKUP(ISCOMM!$A$4,IS!$A$2:$A$27,IS!F$2:F$27," ",0,1)</f>
        <v>-8.7090578617000144E-3</v>
      </c>
    </row>
    <row r="27" spans="1:6" x14ac:dyDescent="0.35">
      <c r="A27" s="2" t="s">
        <v>17</v>
      </c>
      <c r="B27" s="11">
        <f>_xlfn.XLOOKUP($A27,IS!$A$2:$A$27,IS!B$2:B$27,"",0,1)/_xlfn.XLOOKUP(ISCOMM!$A$4,IS!$A$2:$A$27,IS!B$2:B$27," ",0,1)</f>
        <v>0.11462690966036308</v>
      </c>
      <c r="C27" s="11">
        <f>_xlfn.XLOOKUP($A27,IS!$A$2:$A$27,IS!C$2:C$27,"",0,1)/_xlfn.XLOOKUP(ISCOMM!$A$4,IS!$A$2:$A$27,IS!C$2:C$27," ",0,1)</f>
        <v>3.7544924228363016E-2</v>
      </c>
      <c r="D27" s="11">
        <f>_xlfn.XLOOKUP($A27,IS!$A$2:$A$27,IS!D$2:D$27,"",0,1)/_xlfn.XLOOKUP(ISCOMM!$A$4,IS!$A$2:$A$27,IS!D$2:D$27," ",0,1)</f>
        <v>-2.7029730826815229E-2</v>
      </c>
      <c r="E27" s="11">
        <f>_xlfn.XLOOKUP($A27,IS!$A$2:$A$27,IS!E$2:E$27,"",0,1)/_xlfn.XLOOKUP(ISCOMM!$A$4,IS!$A$2:$A$27,IS!E$2:E$27," ",0,1)</f>
        <v>-4.1934612974955217E-2</v>
      </c>
      <c r="F27" s="11">
        <f>_xlfn.XLOOKUP($A27,IS!$A$2:$A$27,IS!F$2:F$27,"",0,1)/_xlfn.XLOOKUP(ISCOMM!$A$4,IS!$A$2:$A$27,IS!F$2:F$27," ",0,1)</f>
        <v>-0.17634163459486507</v>
      </c>
    </row>
  </sheetData>
  <sheetProtection algorithmName="SHA-512" hashValue="t10F/pdfbhfYO20T3FlBM4LEm7IR8jBPbv2fomoDC5Npv0S8OVzz+MVVikxqj1h7EwVL1ilRuiR8N1I0qVrXeA==" saltValue="HWGK3Rqcvxq/ddIi+9rxbA==" spinCount="100000" sheet="1" objects="1" scenario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D2CE8-3AC7-4E09-899E-264B698C5A86}">
  <dimension ref="A1:F36"/>
  <sheetViews>
    <sheetView tabSelected="1" workbookViewId="0">
      <selection activeCell="B5" sqref="B5"/>
    </sheetView>
  </sheetViews>
  <sheetFormatPr defaultRowHeight="14.5" x14ac:dyDescent="0.35"/>
  <cols>
    <col min="1" max="1" width="46.7265625" customWidth="1"/>
  </cols>
  <sheetData>
    <row r="1" spans="1:6" ht="15.5" customHeight="1" x14ac:dyDescent="0.35">
      <c r="A1" s="3" t="s">
        <v>64</v>
      </c>
    </row>
    <row r="2" spans="1:6" x14ac:dyDescent="0.35">
      <c r="A2" s="2" t="s">
        <v>0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</row>
    <row r="3" spans="1:6" x14ac:dyDescent="0.35">
      <c r="A3" s="2" t="s">
        <v>20</v>
      </c>
    </row>
    <row r="4" spans="1:6" x14ac:dyDescent="0.35">
      <c r="A4" s="2" t="s">
        <v>21</v>
      </c>
    </row>
    <row r="5" spans="1:6" x14ac:dyDescent="0.35">
      <c r="A5" s="1" t="s">
        <v>22</v>
      </c>
      <c r="B5" s="11">
        <f>_xlfn.XLOOKUP($A5,BS!$A$2:$A$36,BS!B$2:B$36," ",0,1)/_xlfn.XLOOKUP(BS_COMM!$A$20,BS!$A$2:$A$36,BS!B$2:B$36," ",0,1)</f>
        <v>0.16654151437041212</v>
      </c>
      <c r="C5" s="11">
        <f>_xlfn.XLOOKUP($A5,BS!$A$2:$A$36,BS!C$2:C$36," ",0,1)/_xlfn.XLOOKUP(BS_COMM!$A$20,BS!$A$2:$A$36,BS!C$2:C$36," ",0,1)</f>
        <v>0.20318312328266075</v>
      </c>
      <c r="D5" s="11">
        <f>_xlfn.XLOOKUP($A5,BS!$A$2:$A$36,BS!D$2:D$36," ",0,1)/_xlfn.XLOOKUP(BS_COMM!$A$20,BS!$A$2:$A$36,BS!D$2:D$36," ",0,1)</f>
        <v>0.20451646249975111</v>
      </c>
      <c r="E5" s="11">
        <f>_xlfn.XLOOKUP($A5,BS!$A$2:$A$36,BS!E$2:E$36," ",0,1)/_xlfn.XLOOKUP(BS_COMM!$A$20,BS!$A$2:$A$36,BS!E$2:E$36," ",0,1)</f>
        <v>0.30836449558877732</v>
      </c>
      <c r="F5" s="11">
        <f>_xlfn.XLOOKUP($A5,BS!$A$2:$A$36,BS!F$2:F$36," ",0,1)/_xlfn.XLOOKUP(BS_COMM!$A$20,BS!$A$2:$A$36,BS!F$2:F$36," ",0,1)</f>
        <v>0.34245628438505599</v>
      </c>
    </row>
    <row r="6" spans="1:6" x14ac:dyDescent="0.35">
      <c r="A6" s="1" t="s">
        <v>23</v>
      </c>
      <c r="B6" s="11">
        <f>_xlfn.XLOOKUP($A6,BS!$A$2:$A$36,BS!B$2:B$36," ",0,1)/_xlfn.XLOOKUP(BS_COMM!$A$20,BS!$A$2:$A$36,BS!B$2:B$36," ",0,1)</f>
        <v>7.9518674767031627E-3</v>
      </c>
      <c r="C6" s="11">
        <f>_xlfn.XLOOKUP($A6,BS!$A$2:$A$36,BS!C$2:C$36," ",0,1)/_xlfn.XLOOKUP(BS_COMM!$A$20,BS!$A$2:$A$36,BS!C$2:C$36," ",0,1)</f>
        <v>9.6055027608415861E-3</v>
      </c>
      <c r="D6" s="11">
        <f>_xlfn.XLOOKUP($A6,BS!$A$2:$A$36,BS!D$2:D$36," ",0,1)/_xlfn.XLOOKUP(BS_COMM!$A$20,BS!$A$2:$A$36,BS!D$2:D$36," ",0,1)</f>
        <v>1.0133339797873456E-2</v>
      </c>
      <c r="E6" s="11">
        <f>_xlfn.XLOOKUP($A6,BS!$A$2:$A$36,BS!E$2:E$36," ",0,1)/_xlfn.XLOOKUP(BS_COMM!$A$20,BS!$A$2:$A$36,BS!E$2:E$36," ",0,1)</f>
        <v>2.3819541265937362E-2</v>
      </c>
      <c r="F6" s="11">
        <f>_xlfn.XLOOKUP($A6,BS!$A$2:$A$36,BS!F$2:F$36," ",0,1)/_xlfn.XLOOKUP(BS_COMM!$A$20,BS!$A$2:$A$36,BS!F$2:F$36," ",0,1)</f>
        <v>3.1858192199895906E-2</v>
      </c>
    </row>
    <row r="7" spans="1:6" x14ac:dyDescent="0.35">
      <c r="A7" s="1" t="s">
        <v>24</v>
      </c>
      <c r="B7" s="11">
        <f>_xlfn.XLOOKUP($A7,BS!$A$2:$A$36,BS!B$2:B$36," ",0,1)/_xlfn.XLOOKUP(BS_COMM!$A$20,BS!$A$2:$A$36,BS!B$2:B$36," ",0,1)</f>
        <v>4.6724905306954655E-3</v>
      </c>
      <c r="C7" s="11">
        <f>_xlfn.XLOOKUP($A7,BS!$A$2:$A$36,BS!C$2:C$36," ",0,1)/_xlfn.XLOOKUP(BS_COMM!$A$20,BS!$A$2:$A$36,BS!C$2:C$36," ",0,1)</f>
        <v>5.7434448888763548E-3</v>
      </c>
      <c r="D7" s="11">
        <f>_xlfn.XLOOKUP($A7,BS!$A$2:$A$36,BS!D$2:D$36," ",0,1)/_xlfn.XLOOKUP(BS_COMM!$A$20,BS!$A$2:$A$36,BS!D$2:D$36," ",0,1)</f>
        <v>5.7566152591429229E-3</v>
      </c>
      <c r="E7" s="11">
        <f>_xlfn.XLOOKUP($A7,BS!$A$2:$A$36,BS!E$2:E$36," ",0,1)/_xlfn.XLOOKUP(BS_COMM!$A$20,BS!$A$2:$A$36,BS!E$2:E$36," ",0,1)</f>
        <v>1.7618628676086365E-2</v>
      </c>
      <c r="F7" s="11">
        <f>_xlfn.XLOOKUP($A7,BS!$A$2:$A$36,BS!F$2:F$36," ",0,1)/_xlfn.XLOOKUP(BS_COMM!$A$20,BS!$A$2:$A$36,BS!F$2:F$36," ",0,1)</f>
        <v>1.2151231455933775E-2</v>
      </c>
    </row>
    <row r="8" spans="1:6" x14ac:dyDescent="0.35">
      <c r="A8" s="1" t="s">
        <v>25</v>
      </c>
      <c r="B8" s="11">
        <f>_xlfn.XLOOKUP($A8,BS!$A$2:$A$36,BS!B$2:B$36," ",0,1)/_xlfn.XLOOKUP(BS_COMM!$A$20,BS!$A$2:$A$36,BS!B$2:B$36," ",0,1)</f>
        <v>1.3688014388369954E-3</v>
      </c>
      <c r="C8" s="11">
        <f>_xlfn.XLOOKUP($A8,BS!$A$2:$A$36,BS!C$2:C$36," ",0,1)/_xlfn.XLOOKUP(BS_COMM!$A$20,BS!$A$2:$A$36,BS!C$2:C$36," ",0,1)</f>
        <v>1.6534513481660607E-3</v>
      </c>
      <c r="D8" s="11">
        <f>_xlfn.XLOOKUP($A8,BS!$A$2:$A$36,BS!D$2:D$36," ",0,1)/_xlfn.XLOOKUP(BS_COMM!$A$20,BS!$A$2:$A$36,BS!D$2:D$36," ",0,1)</f>
        <v>1.7158159303007137E-3</v>
      </c>
      <c r="E8" s="11">
        <f>_xlfn.XLOOKUP($A8,BS!$A$2:$A$36,BS!E$2:E$36," ",0,1)/_xlfn.XLOOKUP(BS_COMM!$A$20,BS!$A$2:$A$36,BS!E$2:E$36," ",0,1)</f>
        <v>1.7824048633084881E-3</v>
      </c>
      <c r="F8" s="11">
        <f>_xlfn.XLOOKUP($A8,BS!$A$2:$A$36,BS!F$2:F$36," ",0,1)/_xlfn.XLOOKUP(BS_COMM!$A$20,BS!$A$2:$A$36,BS!F$2:F$36," ",0,1)</f>
        <v>1.7982399787455985E-3</v>
      </c>
    </row>
    <row r="9" spans="1:6" x14ac:dyDescent="0.35">
      <c r="A9" s="1" t="s">
        <v>26</v>
      </c>
      <c r="B9" s="11">
        <f>_xlfn.XLOOKUP($A9,BS!$A$2:$A$36,BS!B$2:B$36," ",0,1)/_xlfn.XLOOKUP(BS_COMM!$A$20,BS!$A$2:$A$36,BS!B$2:B$36," ",0,1)</f>
        <v>2.4429424327064665E-2</v>
      </c>
      <c r="C9" s="11">
        <f>_xlfn.XLOOKUP($A9,BS!$A$2:$A$36,BS!C$2:C$36," ",0,1)/_xlfn.XLOOKUP(BS_COMM!$A$20,BS!$A$2:$A$36,BS!C$2:C$36," ",0,1)</f>
        <v>3.1950373432379109E-2</v>
      </c>
      <c r="D9" s="11">
        <f>_xlfn.XLOOKUP($A9,BS!$A$2:$A$36,BS!D$2:D$36," ",0,1)/_xlfn.XLOOKUP(BS_COMM!$A$20,BS!$A$2:$A$36,BS!D$2:D$36," ",0,1)</f>
        <v>3.4802371216404233E-2</v>
      </c>
      <c r="E9" s="11">
        <f>_xlfn.XLOOKUP($A9,BS!$A$2:$A$36,BS!E$2:E$36," ",0,1)/_xlfn.XLOOKUP(BS_COMM!$A$20,BS!$A$2:$A$36,BS!E$2:E$36," ",0,1)</f>
        <v>0.11074258235190741</v>
      </c>
      <c r="F9" s="11">
        <f>_xlfn.XLOOKUP($A9,BS!$A$2:$A$36,BS!F$2:F$36," ",0,1)/_xlfn.XLOOKUP(BS_COMM!$A$20,BS!$A$2:$A$36,BS!F$2:F$36," ",0,1)</f>
        <v>0.10105713064125431</v>
      </c>
    </row>
    <row r="10" spans="1:6" x14ac:dyDescent="0.35">
      <c r="A10" s="1" t="s">
        <v>27</v>
      </c>
      <c r="B10" s="11">
        <f>_xlfn.XLOOKUP($A10,BS!$A$2:$A$36,BS!B$2:B$36," ",0,1)/_xlfn.XLOOKUP(BS_COMM!$A$20,BS!$A$2:$A$36,BS!B$2:B$36," ",0,1)</f>
        <v>7.0353272055674815E-3</v>
      </c>
      <c r="C10" s="11">
        <f>_xlfn.XLOOKUP($A10,BS!$A$2:$A$36,BS!C$2:C$36," ",0,1)/_xlfn.XLOOKUP(BS_COMM!$A$20,BS!$A$2:$A$36,BS!C$2:C$36," ",0,1)</f>
        <v>8.4983628178522015E-3</v>
      </c>
      <c r="D10" s="11">
        <f>_xlfn.XLOOKUP($A10,BS!$A$2:$A$36,BS!D$2:D$36," ",0,1)/_xlfn.XLOOKUP(BS_COMM!$A$20,BS!$A$2:$A$36,BS!D$2:D$36," ",0,1)</f>
        <v>1.5272995509164784E-2</v>
      </c>
      <c r="E10" s="11">
        <f>_xlfn.XLOOKUP($A10,BS!$A$2:$A$36,BS!E$2:E$36," ",0,1)/_xlfn.XLOOKUP(BS_COMM!$A$20,BS!$A$2:$A$36,BS!E$2:E$36," ",0,1)</f>
        <v>2.8856467391920233E-2</v>
      </c>
      <c r="F10" s="11">
        <f>_xlfn.XLOOKUP($A10,BS!$A$2:$A$36,BS!F$2:F$36," ",0,1)/_xlfn.XLOOKUP(BS_COMM!$A$20,BS!$A$2:$A$36,BS!F$2:F$36," ",0,1)</f>
        <v>4.9711381485296503E-2</v>
      </c>
    </row>
    <row r="11" spans="1:6" x14ac:dyDescent="0.35">
      <c r="A11" s="1" t="s">
        <v>28</v>
      </c>
      <c r="B11" s="11">
        <f>_xlfn.XLOOKUP($A11,BS!$A$2:$A$36,BS!B$2:B$36," ",0,1)/_xlfn.XLOOKUP(BS_COMM!$A$20,BS!$A$2:$A$36,BS!B$2:B$36," ",0,1)</f>
        <v>0.35666111355153485</v>
      </c>
      <c r="C11" s="11">
        <f>_xlfn.XLOOKUP($A11,BS!$A$2:$A$36,BS!C$2:C$36," ",0,1)/_xlfn.XLOOKUP(BS_COMM!$A$20,BS!$A$2:$A$36,BS!C$2:C$36," ",0,1)</f>
        <v>0.46683093831236494</v>
      </c>
      <c r="D11" s="11">
        <f>_xlfn.XLOOKUP($A11,BS!$A$2:$A$36,BS!D$2:D$36," ",0,1)/_xlfn.XLOOKUP(BS_COMM!$A$20,BS!$A$2:$A$36,BS!D$2:D$36," ",0,1)</f>
        <v>0.42810274116702846</v>
      </c>
      <c r="E11" s="11">
        <f>_xlfn.XLOOKUP($A11,BS!$A$2:$A$36,BS!E$2:E$36," ",0,1)/_xlfn.XLOOKUP(BS_COMM!$A$20,BS!$A$2:$A$36,BS!E$2:E$36," ",0,1)</f>
        <v>0.25700518928225868</v>
      </c>
      <c r="F11" s="11">
        <f>_xlfn.XLOOKUP($A11,BS!$A$2:$A$36,BS!F$2:F$36," ",0,1)/_xlfn.XLOOKUP(BS_COMM!$A$20,BS!$A$2:$A$36,BS!F$2:F$36," ",0,1)</f>
        <v>0.27552125186103049</v>
      </c>
    </row>
    <row r="12" spans="1:6" x14ac:dyDescent="0.35">
      <c r="A12" s="1" t="s">
        <v>29</v>
      </c>
      <c r="B12" s="11">
        <f>_xlfn.XLOOKUP($A12,BS!$A$2:$A$36,BS!B$2:B$36," ",0,1)/_xlfn.XLOOKUP(BS_COMM!$A$20,BS!$A$2:$A$36,BS!B$2:B$36," ",0,1)</f>
        <v>-1.7729494224483989E-2</v>
      </c>
      <c r="C12" s="11">
        <f>_xlfn.XLOOKUP($A12,BS!$A$2:$A$36,BS!C$2:C$36," ",0,1)/_xlfn.XLOOKUP(BS_COMM!$A$20,BS!$A$2:$A$36,BS!C$2:C$36," ",0,1)</f>
        <v>-2.3396945628666097E-2</v>
      </c>
      <c r="D12" s="11">
        <f>_xlfn.XLOOKUP($A12,BS!$A$2:$A$36,BS!D$2:D$36," ",0,1)/_xlfn.XLOOKUP(BS_COMM!$A$20,BS!$A$2:$A$36,BS!D$2:D$36," ",0,1)</f>
        <v>-2.6104678797491645E-2</v>
      </c>
      <c r="E12" s="11">
        <f>_xlfn.XLOOKUP($A12,BS!$A$2:$A$36,BS!E$2:E$36," ",0,1)/_xlfn.XLOOKUP(BS_COMM!$A$20,BS!$A$2:$A$36,BS!E$2:E$36," ",0,1)</f>
        <v>3.0417443212264472E-2</v>
      </c>
      <c r="F12" s="11">
        <f>_xlfn.XLOOKUP($A12,BS!$A$2:$A$36,BS!F$2:F$36," ",0,1)/_xlfn.XLOOKUP(BS_COMM!$A$20,BS!$A$2:$A$36,BS!F$2:F$36," ",0,1)</f>
        <v>4.0006801698900335E-2</v>
      </c>
    </row>
    <row r="13" spans="1:6" x14ac:dyDescent="0.35">
      <c r="A13" s="1" t="s">
        <v>30</v>
      </c>
      <c r="B13" s="11">
        <f>_xlfn.XLOOKUP($A13,BS!$A$2:$A$36,BS!B$2:B$36," ",0,1)/_xlfn.XLOOKUP(BS_COMM!$A$20,BS!$A$2:$A$36,BS!B$2:B$36," ",0,1)</f>
        <v>2.4194452962904636E-2</v>
      </c>
      <c r="C13" s="11">
        <f>_xlfn.XLOOKUP($A13,BS!$A$2:$A$36,BS!C$2:C$36," ",0,1)/_xlfn.XLOOKUP(BS_COMM!$A$20,BS!$A$2:$A$36,BS!C$2:C$36," ",0,1)</f>
        <v>3.1867609089994371E-2</v>
      </c>
      <c r="D13" s="11">
        <f>_xlfn.XLOOKUP($A13,BS!$A$2:$A$36,BS!D$2:D$36," ",0,1)/_xlfn.XLOOKUP(BS_COMM!$A$20,BS!$A$2:$A$36,BS!D$2:D$36," ",0,1)</f>
        <v>3.1984928386459444E-2</v>
      </c>
      <c r="E13" s="11">
        <f>_xlfn.XLOOKUP($A13,BS!$A$2:$A$36,BS!E$2:E$36," ",0,1)/_xlfn.XLOOKUP(BS_COMM!$A$20,BS!$A$2:$A$36,BS!E$2:E$36," ",0,1)</f>
        <v>1.3329272901492136E-2</v>
      </c>
      <c r="F13" s="11">
        <f>_xlfn.XLOOKUP($A13,BS!$A$2:$A$36,BS!F$2:F$36," ",0,1)/_xlfn.XLOOKUP(BS_COMM!$A$20,BS!$A$2:$A$36,BS!F$2:F$36," ",0,1)</f>
        <v>1.3210866458042521E-2</v>
      </c>
    </row>
    <row r="14" spans="1:6" x14ac:dyDescent="0.35">
      <c r="A14" s="1" t="s">
        <v>31</v>
      </c>
      <c r="B14" s="11">
        <f>_xlfn.XLOOKUP($A14,BS!$A$2:$A$36,BS!B$2:B$36," ",0,1)/_xlfn.XLOOKUP(BS_COMM!$A$20,BS!$A$2:$A$36,BS!B$2:B$36," ",0,1)</f>
        <v>-1.7985186167494109E-2</v>
      </c>
      <c r="C14" s="11">
        <f>_xlfn.XLOOKUP($A14,BS!$A$2:$A$36,BS!C$2:C$36," ",0,1)/_xlfn.XLOOKUP(BS_COMM!$A$20,BS!$A$2:$A$36,BS!C$2:C$36," ",0,1)</f>
        <v>-2.4018679378112737E-2</v>
      </c>
      <c r="D14" s="11">
        <f>_xlfn.XLOOKUP($A14,BS!$A$2:$A$36,BS!D$2:D$36," ",0,1)/_xlfn.XLOOKUP(BS_COMM!$A$20,BS!$A$2:$A$36,BS!D$2:D$36," ",0,1)</f>
        <v>-3.5660885232190985E-2</v>
      </c>
      <c r="E14" s="11">
        <f>_xlfn.XLOOKUP($A14,BS!$A$2:$A$36,BS!E$2:E$36," ",0,1)/_xlfn.XLOOKUP(BS_COMM!$A$20,BS!$A$2:$A$36,BS!E$2:E$36," ",0,1)</f>
        <v>1.9008900871919577E-2</v>
      </c>
      <c r="F14" s="11">
        <f>_xlfn.XLOOKUP($A14,BS!$A$2:$A$36,BS!F$2:F$36," ",0,1)/_xlfn.XLOOKUP(BS_COMM!$A$20,BS!$A$2:$A$36,BS!F$2:F$36," ",0,1)</f>
        <v>2.1923683050993868E-2</v>
      </c>
    </row>
    <row r="15" spans="1:6" x14ac:dyDescent="0.35">
      <c r="A15" s="2" t="s">
        <v>32</v>
      </c>
      <c r="B15" s="11">
        <f>_xlfn.XLOOKUP($A15,BS!$A$2:$A$36,BS!B$2:B$36," ",0,1)/_xlfn.XLOOKUP(BS_COMM!$A$20,BS!$A$2:$A$36,BS!B$2:B$36," ",0,1)</f>
        <v>0.50086763970504944</v>
      </c>
      <c r="C15" s="11">
        <f>_xlfn.XLOOKUP($A15,BS!$A$2:$A$36,BS!C$2:C$36," ",0,1)/_xlfn.XLOOKUP(BS_COMM!$A$20,BS!$A$2:$A$36,BS!C$2:C$36," ",0,1)</f>
        <v>0.44834528883170288</v>
      </c>
      <c r="D15" s="11">
        <f>_xlfn.XLOOKUP($A15,BS!$A$2:$A$36,BS!D$2:D$36," ",0,1)/_xlfn.XLOOKUP(BS_COMM!$A$20,BS!$A$2:$A$36,BS!D$2:D$36," ",0,1)</f>
        <v>0.46392535534047497</v>
      </c>
      <c r="E15" s="11">
        <f>_xlfn.XLOOKUP($A15,BS!$A$2:$A$36,BS!E$2:E$36," ",0,1)/_xlfn.XLOOKUP(BS_COMM!$A$20,BS!$A$2:$A$36,BS!E$2:E$36," ",0,1)</f>
        <v>0.45526566718405392</v>
      </c>
      <c r="F15" s="11">
        <f>_xlfn.XLOOKUP($A15,BS!$A$2:$A$36,BS!F$2:F$36," ",0,1)/_xlfn.XLOOKUP(BS_COMM!$A$20,BS!$A$2:$A$36,BS!F$2:F$36," ",0,1)</f>
        <v>0.14267271197599879</v>
      </c>
    </row>
    <row r="16" spans="1:6" x14ac:dyDescent="0.35">
      <c r="A16" s="1" t="s">
        <v>33</v>
      </c>
      <c r="B16" s="11">
        <f>_xlfn.XLOOKUP($A16,BS!$A$2:$A$36,BS!B$2:B$36," ",0,1)/_xlfn.XLOOKUP(BS_COMM!$A$20,BS!$A$2:$A$36,BS!B$2:B$36," ",0,1)</f>
        <v>0.11393251721880103</v>
      </c>
      <c r="C16" s="11">
        <f>_xlfn.XLOOKUP($A16,BS!$A$2:$A$36,BS!C$2:C$36," ",0,1)/_xlfn.XLOOKUP(BS_COMM!$A$20,BS!$A$2:$A$36,BS!C$2:C$36," ",0,1)</f>
        <v>9.2028942824022825E-2</v>
      </c>
      <c r="D16" s="11">
        <f>_xlfn.XLOOKUP($A16,BS!$A$2:$A$36,BS!D$2:D$36," ",0,1)/_xlfn.XLOOKUP(BS_COMM!$A$20,BS!$A$2:$A$36,BS!D$2:D$36," ",0,1)</f>
        <v>9.261977508595097E-2</v>
      </c>
      <c r="E16" s="11">
        <f>_xlfn.XLOOKUP($A16,BS!$A$2:$A$36,BS!E$2:E$36," ",0,1)/_xlfn.XLOOKUP(BS_COMM!$A$20,BS!$A$2:$A$36,BS!E$2:E$36," ",0,1)</f>
        <v>9.146224652805196E-2</v>
      </c>
      <c r="F16" s="11">
        <f>_xlfn.XLOOKUP($A16,BS!$A$2:$A$36,BS!F$2:F$36," ",0,1)/_xlfn.XLOOKUP(BS_COMM!$A$20,BS!$A$2:$A$36,BS!F$2:F$36," ",0,1)</f>
        <v>0.12076989859879196</v>
      </c>
    </row>
    <row r="17" spans="1:6" ht="29" x14ac:dyDescent="0.35">
      <c r="A17" s="1" t="s">
        <v>34</v>
      </c>
      <c r="B17" s="11">
        <f>_xlfn.XLOOKUP($A17,BS!$A$2:$A$36,BS!B$2:B$36," ",0,1)/_xlfn.XLOOKUP(BS_COMM!$A$20,BS!$A$2:$A$36,BS!B$2:B$36," ",0,1)</f>
        <v>0.37047414209896701</v>
      </c>
      <c r="C17" s="11">
        <f>_xlfn.XLOOKUP($A17,BS!$A$2:$A$36,BS!C$2:C$36," ",0,1)/_xlfn.XLOOKUP(BS_COMM!$A$20,BS!$A$2:$A$36,BS!C$2:C$36," ",0,1)</f>
        <v>0.34043109876839645</v>
      </c>
      <c r="D17" s="11">
        <f>_xlfn.XLOOKUP($A17,BS!$A$2:$A$36,BS!D$2:D$36," ",0,1)/_xlfn.XLOOKUP(BS_COMM!$A$20,BS!$A$2:$A$36,BS!D$2:D$36," ",0,1)</f>
        <v>0.35825973425545382</v>
      </c>
      <c r="E17" s="11">
        <f>_xlfn.XLOOKUP($A17,BS!$A$2:$A$36,BS!E$2:E$36," ",0,1)/_xlfn.XLOOKUP(BS_COMM!$A$20,BS!$A$2:$A$36,BS!E$2:E$36," ",0,1)</f>
        <v>0.34729607437425614</v>
      </c>
      <c r="F17" s="11">
        <f>_xlfn.XLOOKUP($A17,BS!$A$2:$A$36,BS!F$2:F$36," ",0,1)/_xlfn.XLOOKUP(BS_COMM!$A$20,BS!$A$2:$A$36,BS!F$2:F$36," ",0,1)</f>
        <v>1.6581046561512547E-2</v>
      </c>
    </row>
    <row r="18" spans="1:6" x14ac:dyDescent="0.35">
      <c r="A18" s="1" t="s">
        <v>35</v>
      </c>
      <c r="B18" s="11">
        <f>_xlfn.XLOOKUP($A18,BS!$A$2:$A$36,BS!B$2:B$36," ",0,1)/_xlfn.XLOOKUP(BS_COMM!$A$20,BS!$A$2:$A$36,BS!B$2:B$36," ",0,1)</f>
        <v>1.5023801038239139E-3</v>
      </c>
      <c r="C18" s="11">
        <f>_xlfn.XLOOKUP($A18,BS!$A$2:$A$36,BS!C$2:C$36," ",0,1)/_xlfn.XLOOKUP(BS_COMM!$A$20,BS!$A$2:$A$36,BS!C$2:C$36," ",0,1)</f>
        <v>1.6434395325550036E-3</v>
      </c>
      <c r="D18" s="11">
        <f>_xlfn.XLOOKUP($A18,BS!$A$2:$A$36,BS!D$2:D$36," ",0,1)/_xlfn.XLOOKUP(BS_COMM!$A$20,BS!$A$2:$A$36,BS!D$2:D$36," ",0,1)</f>
        <v>4.7791421612977799E-4</v>
      </c>
      <c r="E18" s="11">
        <f>_xlfn.XLOOKUP($A18,BS!$A$2:$A$36,BS!E$2:E$36," ",0,1)/_xlfn.XLOOKUP(BS_COMM!$A$20,BS!$A$2:$A$36,BS!E$2:E$36," ",0,1)</f>
        <v>7.8966165606259584E-5</v>
      </c>
      <c r="F18" s="11">
        <f>_xlfn.XLOOKUP($A18,BS!$A$2:$A$36,BS!F$2:F$36," ",0,1)/_xlfn.XLOOKUP(BS_COMM!$A$20,BS!$A$2:$A$36,BS!F$2:F$36," ",0,1)</f>
        <v>1.8601230984097673E-3</v>
      </c>
    </row>
    <row r="19" spans="1:6" x14ac:dyDescent="0.35">
      <c r="A19" s="1" t="s">
        <v>36</v>
      </c>
      <c r="B19" s="11">
        <f>_xlfn.XLOOKUP($A19,BS!$A$2:$A$36,BS!B$2:B$36," ",0,1)/_xlfn.XLOOKUP(BS_COMM!$A$20,BS!$A$2:$A$36,BS!B$2:B$36," ",0,1)</f>
        <v>8.9678665263192789E-4</v>
      </c>
      <c r="C19" s="11">
        <f>_xlfn.XLOOKUP($A19,BS!$A$2:$A$36,BS!C$2:C$36," ",0,1)/_xlfn.XLOOKUP(BS_COMM!$A$20,BS!$A$2:$A$36,BS!C$2:C$36," ",0,1)</f>
        <v>1.3812634544201247E-2</v>
      </c>
      <c r="D19" s="11">
        <f>_xlfn.XLOOKUP($A19,BS!$A$2:$A$36,BS!D$2:D$36," ",0,1)/_xlfn.XLOOKUP(BS_COMM!$A$20,BS!$A$2:$A$36,BS!D$2:D$36," ",0,1)</f>
        <v>1.2567931782940366E-2</v>
      </c>
      <c r="E19" s="11">
        <f>_xlfn.XLOOKUP($A19,BS!$A$2:$A$36,BS!E$2:E$36," ",0,1)/_xlfn.XLOOKUP(BS_COMM!$A$20,BS!$A$2:$A$36,BS!E$2:E$36," ",0,1)</f>
        <v>1.6428380116139622E-2</v>
      </c>
      <c r="F19" s="11">
        <f>_xlfn.XLOOKUP($A19,BS!$A$2:$A$36,BS!F$2:F$36," ",0,1)/_xlfn.XLOOKUP(BS_COMM!$A$20,BS!$A$2:$A$36,BS!F$2:F$36," ",0,1)</f>
        <v>3.4616437172845182E-3</v>
      </c>
    </row>
    <row r="20" spans="1:6" x14ac:dyDescent="0.35">
      <c r="A20" s="2" t="s">
        <v>37</v>
      </c>
      <c r="B20" s="11">
        <f>_xlfn.XLOOKUP($A20,BS!$A$2:$A$36,BS!B$2:B$36," ",0,1)/_xlfn.XLOOKUP(BS_COMM!$A$20,BS!$A$2:$A$36,BS!B$2:B$36," ",0,1)</f>
        <v>1</v>
      </c>
      <c r="C20" s="11">
        <f>_xlfn.XLOOKUP($A20,BS!$A$2:$A$36,BS!C$2:C$36," ",0,1)/_xlfn.XLOOKUP(BS_COMM!$A$20,BS!$A$2:$A$36,BS!C$2:C$36," ",0,1)</f>
        <v>1</v>
      </c>
      <c r="D20" s="11">
        <f>_xlfn.XLOOKUP($A20,BS!$A$2:$A$36,BS!D$2:D$36," ",0,1)/_xlfn.XLOOKUP(BS_COMM!$A$20,BS!$A$2:$A$36,BS!D$2:D$36," ",0,1)</f>
        <v>1</v>
      </c>
      <c r="E20" s="11">
        <f>_xlfn.XLOOKUP($A20,BS!$A$2:$A$36,BS!E$2:E$36," ",0,1)/_xlfn.XLOOKUP(BS_COMM!$A$20,BS!$A$2:$A$36,BS!E$2:E$36," ",0,1)</f>
        <v>1</v>
      </c>
      <c r="F20" s="11">
        <f>_xlfn.XLOOKUP($A20,BS!$A$2:$A$36,BS!F$2:F$36," ",0,1)/_xlfn.XLOOKUP(BS_COMM!$A$20,BS!$A$2:$A$36,BS!F$2:F$36," ",0,1)</f>
        <v>1</v>
      </c>
    </row>
    <row r="21" spans="1:6" x14ac:dyDescent="0.35">
      <c r="A21" s="1"/>
    </row>
    <row r="22" spans="1:6" x14ac:dyDescent="0.35">
      <c r="A22" s="2" t="s">
        <v>38</v>
      </c>
    </row>
    <row r="23" spans="1:6" x14ac:dyDescent="0.35">
      <c r="A23" s="2" t="s">
        <v>39</v>
      </c>
    </row>
    <row r="24" spans="1:6" x14ac:dyDescent="0.35">
      <c r="A24" s="1" t="s">
        <v>40</v>
      </c>
    </row>
    <row r="25" spans="1:6" x14ac:dyDescent="0.35">
      <c r="A25" s="1" t="s">
        <v>41</v>
      </c>
    </row>
    <row r="26" spans="1:6" x14ac:dyDescent="0.35">
      <c r="A26" s="2" t="s">
        <v>42</v>
      </c>
    </row>
    <row r="27" spans="1:6" x14ac:dyDescent="0.35">
      <c r="A27" s="1" t="s">
        <v>43</v>
      </c>
    </row>
    <row r="28" spans="1:6" x14ac:dyDescent="0.35">
      <c r="A28" s="1" t="s">
        <v>44</v>
      </c>
    </row>
    <row r="29" spans="1:6" x14ac:dyDescent="0.35">
      <c r="A29" s="1" t="s">
        <v>45</v>
      </c>
    </row>
    <row r="30" spans="1:6" x14ac:dyDescent="0.35">
      <c r="A30" s="1" t="s">
        <v>46</v>
      </c>
    </row>
    <row r="31" spans="1:6" x14ac:dyDescent="0.35">
      <c r="A31" s="2" t="s">
        <v>47</v>
      </c>
    </row>
    <row r="32" spans="1:6" x14ac:dyDescent="0.35">
      <c r="A32" s="1" t="s">
        <v>48</v>
      </c>
    </row>
    <row r="33" spans="1:1" x14ac:dyDescent="0.35">
      <c r="A33" s="1" t="s">
        <v>44</v>
      </c>
    </row>
    <row r="34" spans="1:1" x14ac:dyDescent="0.35">
      <c r="A34" s="1" t="s">
        <v>49</v>
      </c>
    </row>
    <row r="35" spans="1:1" x14ac:dyDescent="0.35">
      <c r="A35" s="1" t="s">
        <v>50</v>
      </c>
    </row>
    <row r="36" spans="1:1" x14ac:dyDescent="0.35">
      <c r="A36" s="2" t="s">
        <v>51</v>
      </c>
    </row>
  </sheetData>
  <sheetProtection algorithmName="SHA-512" hashValue="VYpCkwHvHmHnPm2hSJtTg4o1ElA6GTxPbz5u+JL44OtIDBDv7cCvdNohSNLC1poNHUe6JON0hypkgGG33Ujkng==" saltValue="pp8isyM/G5zCeMTl2I/ta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Index</vt:lpstr>
      <vt:lpstr>IS</vt:lpstr>
      <vt:lpstr>BS</vt:lpstr>
      <vt:lpstr>IS_XLOOKUP</vt:lpstr>
      <vt:lpstr>ISCOMP</vt:lpstr>
      <vt:lpstr>BS_XLOOKUP</vt:lpstr>
      <vt:lpstr>BSCOMP</vt:lpstr>
      <vt:lpstr>ISCOMM</vt:lpstr>
      <vt:lpstr>BS_COMM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potharla</dc:creator>
  <cp:lastModifiedBy>srikanth potharla</cp:lastModifiedBy>
  <cp:lastPrinted>2025-11-02T11:27:06Z</cp:lastPrinted>
  <dcterms:created xsi:type="dcterms:W3CDTF">2025-11-02T09:39:46Z</dcterms:created>
  <dcterms:modified xsi:type="dcterms:W3CDTF">2025-11-02T12:18:53Z</dcterms:modified>
</cp:coreProperties>
</file>