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07_MY TEACHING RESOURCES\MBA-FINANCIAL MODELLING\FME_Topic_01_financial Statement Analysis\"/>
    </mc:Choice>
  </mc:AlternateContent>
  <xr:revisionPtr revIDLastSave="0" documentId="13_ncr:1_{C7670BF0-CCDD-4B00-B831-EA6977B1E2AA}" xr6:coauthVersionLast="47" xr6:coauthVersionMax="47" xr10:uidLastSave="{00000000-0000-0000-0000-000000000000}"/>
  <bookViews>
    <workbookView xWindow="-110" yWindow="-110" windowWidth="19420" windowHeight="10300" activeTab="3" xr2:uid="{A8C20A5F-58CB-42FB-9F99-C4010A6A11FE}"/>
  </bookViews>
  <sheets>
    <sheet name="Index" sheetId="9" r:id="rId1"/>
    <sheet name="IS" sheetId="1" r:id="rId2"/>
    <sheet name="BS" sheetId="2" r:id="rId3"/>
    <sheet name="IS_XLOOPUP" sheetId="3" r:id="rId4"/>
    <sheet name="IS_VLOOKUP" sheetId="4" r:id="rId5"/>
    <sheet name="IS_COMP" sheetId="6" r:id="rId6"/>
    <sheet name="BS_COMP" sheetId="5" r:id="rId7"/>
    <sheet name="IS_COMM" sheetId="7" r:id="rId8"/>
    <sheet name="BS_COMM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8" l="1"/>
  <c r="C23" i="8"/>
  <c r="D23" i="8"/>
  <c r="E23" i="8"/>
  <c r="F23" i="8"/>
  <c r="B24" i="8"/>
  <c r="C24" i="8"/>
  <c r="D24" i="8"/>
  <c r="E24" i="8"/>
  <c r="F24" i="8"/>
  <c r="B25" i="8"/>
  <c r="C25" i="8"/>
  <c r="D25" i="8"/>
  <c r="E25" i="8"/>
  <c r="F25" i="8"/>
  <c r="B26" i="8"/>
  <c r="C26" i="8"/>
  <c r="D26" i="8"/>
  <c r="E26" i="8"/>
  <c r="F26" i="8"/>
  <c r="B27" i="8"/>
  <c r="C27" i="8"/>
  <c r="D27" i="8"/>
  <c r="E27" i="8"/>
  <c r="F27" i="8"/>
  <c r="B28" i="8"/>
  <c r="C28" i="8"/>
  <c r="D28" i="8"/>
  <c r="E28" i="8"/>
  <c r="F28" i="8"/>
  <c r="B29" i="8"/>
  <c r="C29" i="8"/>
  <c r="D29" i="8"/>
  <c r="E29" i="8"/>
  <c r="F29" i="8"/>
  <c r="B30" i="8"/>
  <c r="C30" i="8"/>
  <c r="D30" i="8"/>
  <c r="E30" i="8"/>
  <c r="F30" i="8"/>
  <c r="B31" i="8"/>
  <c r="C31" i="8"/>
  <c r="D31" i="8"/>
  <c r="E31" i="8"/>
  <c r="F31" i="8"/>
  <c r="B32" i="8"/>
  <c r="C32" i="8"/>
  <c r="D32" i="8"/>
  <c r="E32" i="8"/>
  <c r="F32" i="8"/>
  <c r="B33" i="8"/>
  <c r="C33" i="8"/>
  <c r="D33" i="8"/>
  <c r="E33" i="8"/>
  <c r="F33" i="8"/>
  <c r="B34" i="8"/>
  <c r="C34" i="8"/>
  <c r="D34" i="8"/>
  <c r="E34" i="8"/>
  <c r="F34" i="8"/>
  <c r="B35" i="8"/>
  <c r="C35" i="8"/>
  <c r="D35" i="8"/>
  <c r="E35" i="8"/>
  <c r="F35" i="8"/>
  <c r="B36" i="8"/>
  <c r="C36" i="8"/>
  <c r="D36" i="8"/>
  <c r="E36" i="8"/>
  <c r="F36" i="8"/>
  <c r="B5" i="8"/>
  <c r="C5" i="8"/>
  <c r="D5" i="8"/>
  <c r="E5" i="8"/>
  <c r="F5" i="8"/>
  <c r="B6" i="8"/>
  <c r="C6" i="8"/>
  <c r="D6" i="8"/>
  <c r="E6" i="8"/>
  <c r="F6" i="8"/>
  <c r="B7" i="8"/>
  <c r="C7" i="8"/>
  <c r="D7" i="8"/>
  <c r="E7" i="8"/>
  <c r="F7" i="8"/>
  <c r="B8" i="8"/>
  <c r="C8" i="8"/>
  <c r="D8" i="8"/>
  <c r="E8" i="8"/>
  <c r="F8" i="8"/>
  <c r="B9" i="8"/>
  <c r="C9" i="8"/>
  <c r="D9" i="8"/>
  <c r="E9" i="8"/>
  <c r="F9" i="8"/>
  <c r="B10" i="8"/>
  <c r="C10" i="8"/>
  <c r="D10" i="8"/>
  <c r="E10" i="8"/>
  <c r="F10" i="8"/>
  <c r="B11" i="8"/>
  <c r="C11" i="8"/>
  <c r="D11" i="8"/>
  <c r="E11" i="8"/>
  <c r="F11" i="8"/>
  <c r="B12" i="8"/>
  <c r="C12" i="8"/>
  <c r="D12" i="8"/>
  <c r="E12" i="8"/>
  <c r="F12" i="8"/>
  <c r="B13" i="8"/>
  <c r="C13" i="8"/>
  <c r="D13" i="8"/>
  <c r="E13" i="8"/>
  <c r="F13" i="8"/>
  <c r="B14" i="8"/>
  <c r="C14" i="8"/>
  <c r="D14" i="8"/>
  <c r="E14" i="8"/>
  <c r="F14" i="8"/>
  <c r="B15" i="8"/>
  <c r="C15" i="8"/>
  <c r="D15" i="8"/>
  <c r="E15" i="8"/>
  <c r="F15" i="8"/>
  <c r="B16" i="8"/>
  <c r="C16" i="8"/>
  <c r="D16" i="8"/>
  <c r="E16" i="8"/>
  <c r="F16" i="8"/>
  <c r="B17" i="8"/>
  <c r="C17" i="8"/>
  <c r="D17" i="8"/>
  <c r="E17" i="8"/>
  <c r="F17" i="8"/>
  <c r="B18" i="8"/>
  <c r="C18" i="8"/>
  <c r="D18" i="8"/>
  <c r="E18" i="8"/>
  <c r="F18" i="8"/>
  <c r="B19" i="8"/>
  <c r="C19" i="8"/>
  <c r="D19" i="8"/>
  <c r="E19" i="8"/>
  <c r="F19" i="8"/>
  <c r="B20" i="8"/>
  <c r="C20" i="8"/>
  <c r="D20" i="8"/>
  <c r="E20" i="8"/>
  <c r="F20" i="8"/>
  <c r="C4" i="8"/>
  <c r="D4" i="8"/>
  <c r="E4" i="8"/>
  <c r="F4" i="8"/>
  <c r="B4" i="8"/>
  <c r="C2" i="8"/>
  <c r="D2" i="8"/>
  <c r="E2" i="8"/>
  <c r="F2" i="8"/>
  <c r="B2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1" i="8"/>
  <c r="B13" i="7"/>
  <c r="B5" i="7"/>
  <c r="C5" i="7"/>
  <c r="D5" i="7"/>
  <c r="E5" i="7"/>
  <c r="F5" i="7"/>
  <c r="B6" i="7"/>
  <c r="C6" i="7"/>
  <c r="D6" i="7"/>
  <c r="E6" i="7"/>
  <c r="F6" i="7"/>
  <c r="B7" i="7"/>
  <c r="C7" i="7"/>
  <c r="D7" i="7"/>
  <c r="E7" i="7"/>
  <c r="F7" i="7"/>
  <c r="B8" i="7"/>
  <c r="C8" i="7"/>
  <c r="D8" i="7"/>
  <c r="E8" i="7"/>
  <c r="F8" i="7"/>
  <c r="B10" i="7"/>
  <c r="C10" i="7"/>
  <c r="D10" i="7"/>
  <c r="E10" i="7"/>
  <c r="F10" i="7"/>
  <c r="B11" i="7"/>
  <c r="C11" i="7"/>
  <c r="D11" i="7"/>
  <c r="E11" i="7"/>
  <c r="F11" i="7"/>
  <c r="B12" i="7"/>
  <c r="C12" i="7"/>
  <c r="D12" i="7"/>
  <c r="E12" i="7"/>
  <c r="F12" i="7"/>
  <c r="C13" i="7"/>
  <c r="D13" i="7"/>
  <c r="E13" i="7"/>
  <c r="F13" i="7"/>
  <c r="B14" i="7"/>
  <c r="C14" i="7"/>
  <c r="D14" i="7"/>
  <c r="E14" i="7"/>
  <c r="F14" i="7"/>
  <c r="B15" i="7"/>
  <c r="C15" i="7"/>
  <c r="D15" i="7"/>
  <c r="E15" i="7"/>
  <c r="F15" i="7"/>
  <c r="B16" i="7"/>
  <c r="C16" i="7"/>
  <c r="D16" i="7"/>
  <c r="E16" i="7"/>
  <c r="F16" i="7"/>
  <c r="B17" i="7"/>
  <c r="C17" i="7"/>
  <c r="D17" i="7"/>
  <c r="E17" i="7"/>
  <c r="F17" i="7"/>
  <c r="B18" i="7"/>
  <c r="C18" i="7"/>
  <c r="D18" i="7"/>
  <c r="E18" i="7"/>
  <c r="F18" i="7"/>
  <c r="B19" i="7"/>
  <c r="C19" i="7"/>
  <c r="D19" i="7"/>
  <c r="E19" i="7"/>
  <c r="F19" i="7"/>
  <c r="B20" i="7"/>
  <c r="C20" i="7"/>
  <c r="D20" i="7"/>
  <c r="E20" i="7"/>
  <c r="F20" i="7"/>
  <c r="B21" i="7"/>
  <c r="C21" i="7"/>
  <c r="D21" i="7"/>
  <c r="E21" i="7"/>
  <c r="F21" i="7"/>
  <c r="B22" i="7"/>
  <c r="C22" i="7"/>
  <c r="D22" i="7"/>
  <c r="E22" i="7"/>
  <c r="F22" i="7"/>
  <c r="B23" i="7"/>
  <c r="C23" i="7"/>
  <c r="D23" i="7"/>
  <c r="E23" i="7"/>
  <c r="F23" i="7"/>
  <c r="B24" i="7"/>
  <c r="C24" i="7"/>
  <c r="D24" i="7"/>
  <c r="E24" i="7"/>
  <c r="F24" i="7"/>
  <c r="B25" i="7"/>
  <c r="C25" i="7"/>
  <c r="D25" i="7"/>
  <c r="E25" i="7"/>
  <c r="F25" i="7"/>
  <c r="B26" i="7"/>
  <c r="C26" i="7"/>
  <c r="D26" i="7"/>
  <c r="E26" i="7"/>
  <c r="F26" i="7"/>
  <c r="B27" i="7"/>
  <c r="C27" i="7"/>
  <c r="D27" i="7"/>
  <c r="E27" i="7"/>
  <c r="F27" i="7"/>
  <c r="C4" i="7"/>
  <c r="D4" i="7"/>
  <c r="E4" i="7"/>
  <c r="F4" i="7"/>
  <c r="B4" i="7"/>
  <c r="C2" i="7"/>
  <c r="D2" i="7"/>
  <c r="E2" i="7"/>
  <c r="F2" i="7"/>
  <c r="B2" i="7"/>
  <c r="A2" i="7"/>
  <c r="A3" i="7"/>
  <c r="A4" i="7"/>
  <c r="A5" i="7"/>
  <c r="A6" i="7"/>
  <c r="A7" i="7"/>
  <c r="A8" i="7"/>
  <c r="A9" i="7"/>
  <c r="B9" i="7" s="1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1" i="7"/>
  <c r="B21" i="5"/>
  <c r="C21" i="5"/>
  <c r="D21" i="5"/>
  <c r="E21" i="5"/>
  <c r="B22" i="5"/>
  <c r="C22" i="5"/>
  <c r="D22" i="5"/>
  <c r="E22" i="5"/>
  <c r="B23" i="5"/>
  <c r="C23" i="5"/>
  <c r="D23" i="5"/>
  <c r="E23" i="5"/>
  <c r="B24" i="5"/>
  <c r="C24" i="5"/>
  <c r="D24" i="5"/>
  <c r="E24" i="5"/>
  <c r="B25" i="5"/>
  <c r="C25" i="5"/>
  <c r="D25" i="5"/>
  <c r="E25" i="5"/>
  <c r="B26" i="5"/>
  <c r="C26" i="5"/>
  <c r="D26" i="5"/>
  <c r="E26" i="5"/>
  <c r="B27" i="5"/>
  <c r="C27" i="5"/>
  <c r="D27" i="5"/>
  <c r="E27" i="5"/>
  <c r="B28" i="5"/>
  <c r="C28" i="5"/>
  <c r="D28" i="5"/>
  <c r="E28" i="5"/>
  <c r="B29" i="5"/>
  <c r="C29" i="5"/>
  <c r="D29" i="5"/>
  <c r="E29" i="5"/>
  <c r="B30" i="5"/>
  <c r="C30" i="5"/>
  <c r="D30" i="5"/>
  <c r="E30" i="5"/>
  <c r="B31" i="5"/>
  <c r="C31" i="5"/>
  <c r="D31" i="5"/>
  <c r="E31" i="5"/>
  <c r="B32" i="5"/>
  <c r="C32" i="5"/>
  <c r="D32" i="5"/>
  <c r="E32" i="5"/>
  <c r="B33" i="5"/>
  <c r="C33" i="5"/>
  <c r="D33" i="5"/>
  <c r="E33" i="5"/>
  <c r="B34" i="5"/>
  <c r="C34" i="5"/>
  <c r="D34" i="5"/>
  <c r="E34" i="5"/>
  <c r="B35" i="5"/>
  <c r="C35" i="5"/>
  <c r="D35" i="5"/>
  <c r="E35" i="5"/>
  <c r="B36" i="5"/>
  <c r="C36" i="5"/>
  <c r="D36" i="5"/>
  <c r="E36" i="5"/>
  <c r="B5" i="5"/>
  <c r="C5" i="5"/>
  <c r="D5" i="5"/>
  <c r="E5" i="5"/>
  <c r="B6" i="5"/>
  <c r="C6" i="5"/>
  <c r="D6" i="5"/>
  <c r="E6" i="5"/>
  <c r="B7" i="5"/>
  <c r="C7" i="5"/>
  <c r="D7" i="5"/>
  <c r="E7" i="5"/>
  <c r="B8" i="5"/>
  <c r="C8" i="5"/>
  <c r="D8" i="5"/>
  <c r="E8" i="5"/>
  <c r="B9" i="5"/>
  <c r="C9" i="5"/>
  <c r="D9" i="5"/>
  <c r="E9" i="5"/>
  <c r="B10" i="5"/>
  <c r="C10" i="5"/>
  <c r="D10" i="5"/>
  <c r="E10" i="5"/>
  <c r="B11" i="5"/>
  <c r="C11" i="5"/>
  <c r="D11" i="5"/>
  <c r="E11" i="5"/>
  <c r="B12" i="5"/>
  <c r="C12" i="5"/>
  <c r="D12" i="5"/>
  <c r="E12" i="5"/>
  <c r="B13" i="5"/>
  <c r="C13" i="5"/>
  <c r="D13" i="5"/>
  <c r="E13" i="5"/>
  <c r="B14" i="5"/>
  <c r="C14" i="5"/>
  <c r="D14" i="5"/>
  <c r="E14" i="5"/>
  <c r="B15" i="5"/>
  <c r="C15" i="5"/>
  <c r="D15" i="5"/>
  <c r="E15" i="5"/>
  <c r="B16" i="5"/>
  <c r="C16" i="5"/>
  <c r="D16" i="5"/>
  <c r="E16" i="5"/>
  <c r="B17" i="5"/>
  <c r="C17" i="5"/>
  <c r="D17" i="5"/>
  <c r="E17" i="5"/>
  <c r="B18" i="5"/>
  <c r="C18" i="5"/>
  <c r="D18" i="5"/>
  <c r="E18" i="5"/>
  <c r="B19" i="5"/>
  <c r="C19" i="5"/>
  <c r="D19" i="5"/>
  <c r="E19" i="5"/>
  <c r="B20" i="5"/>
  <c r="C20" i="5"/>
  <c r="D20" i="5"/>
  <c r="E20" i="5"/>
  <c r="C4" i="5"/>
  <c r="D4" i="5"/>
  <c r="E4" i="5"/>
  <c r="B4" i="5"/>
  <c r="C2" i="5"/>
  <c r="D2" i="5"/>
  <c r="E2" i="5"/>
  <c r="F2" i="5"/>
  <c r="B2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1" i="5"/>
  <c r="B5" i="6"/>
  <c r="B6" i="6"/>
  <c r="B8" i="6"/>
  <c r="B10" i="6"/>
  <c r="B12" i="6"/>
  <c r="B13" i="6"/>
  <c r="B14" i="6"/>
  <c r="B16" i="6"/>
  <c r="B17" i="6"/>
  <c r="B18" i="6"/>
  <c r="B20" i="6"/>
  <c r="B21" i="6"/>
  <c r="B22" i="6"/>
  <c r="B24" i="6"/>
  <c r="B25" i="6"/>
  <c r="B26" i="6"/>
  <c r="C4" i="6"/>
  <c r="A27" i="6"/>
  <c r="C27" i="6" s="1"/>
  <c r="A26" i="6"/>
  <c r="C26" i="6" s="1"/>
  <c r="A25" i="6"/>
  <c r="C25" i="6" s="1"/>
  <c r="A24" i="6"/>
  <c r="C24" i="6" s="1"/>
  <c r="A23" i="6"/>
  <c r="C23" i="6" s="1"/>
  <c r="A22" i="6"/>
  <c r="C22" i="6" s="1"/>
  <c r="A21" i="6"/>
  <c r="C21" i="6" s="1"/>
  <c r="A20" i="6"/>
  <c r="C20" i="6" s="1"/>
  <c r="A19" i="6"/>
  <c r="C19" i="6" s="1"/>
  <c r="A18" i="6"/>
  <c r="C18" i="6" s="1"/>
  <c r="A17" i="6"/>
  <c r="C17" i="6" s="1"/>
  <c r="A16" i="6"/>
  <c r="C16" i="6" s="1"/>
  <c r="A15" i="6"/>
  <c r="C15" i="6" s="1"/>
  <c r="A14" i="6"/>
  <c r="C14" i="6" s="1"/>
  <c r="A13" i="6"/>
  <c r="C13" i="6" s="1"/>
  <c r="A12" i="6"/>
  <c r="C12" i="6" s="1"/>
  <c r="A11" i="6"/>
  <c r="C11" i="6" s="1"/>
  <c r="A10" i="6"/>
  <c r="C10" i="6" s="1"/>
  <c r="A9" i="6"/>
  <c r="C9" i="6" s="1"/>
  <c r="A8" i="6"/>
  <c r="C8" i="6" s="1"/>
  <c r="A7" i="6"/>
  <c r="C7" i="6" s="1"/>
  <c r="A6" i="6"/>
  <c r="C6" i="6" s="1"/>
  <c r="A5" i="6"/>
  <c r="C5" i="6" s="1"/>
  <c r="A4" i="6"/>
  <c r="D4" i="6" s="1"/>
  <c r="A3" i="6"/>
  <c r="E2" i="6"/>
  <c r="D2" i="6"/>
  <c r="C2" i="6"/>
  <c r="B2" i="6"/>
  <c r="A2" i="6"/>
  <c r="A1" i="6"/>
  <c r="B6" i="4"/>
  <c r="C6" i="4"/>
  <c r="D6" i="4"/>
  <c r="E6" i="4"/>
  <c r="F6" i="4"/>
  <c r="B7" i="4"/>
  <c r="C7" i="4"/>
  <c r="D7" i="4"/>
  <c r="E7" i="4"/>
  <c r="F7" i="4"/>
  <c r="B8" i="4"/>
  <c r="C8" i="4"/>
  <c r="D8" i="4"/>
  <c r="E8" i="4"/>
  <c r="F8" i="4"/>
  <c r="B9" i="4"/>
  <c r="C9" i="4"/>
  <c r="D9" i="4"/>
  <c r="E9" i="4"/>
  <c r="F9" i="4"/>
  <c r="B11" i="4"/>
  <c r="C11" i="4"/>
  <c r="D11" i="4"/>
  <c r="E11" i="4"/>
  <c r="F11" i="4"/>
  <c r="B12" i="4"/>
  <c r="C12" i="4"/>
  <c r="D12" i="4"/>
  <c r="E12" i="4"/>
  <c r="F12" i="4"/>
  <c r="B13" i="4"/>
  <c r="C13" i="4"/>
  <c r="D13" i="4"/>
  <c r="E13" i="4"/>
  <c r="F13" i="4"/>
  <c r="B14" i="4"/>
  <c r="C14" i="4"/>
  <c r="D14" i="4"/>
  <c r="E14" i="4"/>
  <c r="F14" i="4"/>
  <c r="B15" i="4"/>
  <c r="C15" i="4"/>
  <c r="D15" i="4"/>
  <c r="E15" i="4"/>
  <c r="F15" i="4"/>
  <c r="B16" i="4"/>
  <c r="C16" i="4"/>
  <c r="D16" i="4"/>
  <c r="E16" i="4"/>
  <c r="F16" i="4"/>
  <c r="B17" i="4"/>
  <c r="C17" i="4"/>
  <c r="D17" i="4"/>
  <c r="E17" i="4"/>
  <c r="F17" i="4"/>
  <c r="B18" i="4"/>
  <c r="C18" i="4"/>
  <c r="D18" i="4"/>
  <c r="E18" i="4"/>
  <c r="F18" i="4"/>
  <c r="B19" i="4"/>
  <c r="C19" i="4"/>
  <c r="D19" i="4"/>
  <c r="E19" i="4"/>
  <c r="F19" i="4"/>
  <c r="B20" i="4"/>
  <c r="C20" i="4"/>
  <c r="D20" i="4"/>
  <c r="E20" i="4"/>
  <c r="F20" i="4"/>
  <c r="B21" i="4"/>
  <c r="C21" i="4"/>
  <c r="D21" i="4"/>
  <c r="E21" i="4"/>
  <c r="F21" i="4"/>
  <c r="B22" i="4"/>
  <c r="C22" i="4"/>
  <c r="D22" i="4"/>
  <c r="E22" i="4"/>
  <c r="F22" i="4"/>
  <c r="B23" i="4"/>
  <c r="C23" i="4"/>
  <c r="D23" i="4"/>
  <c r="E23" i="4"/>
  <c r="F23" i="4"/>
  <c r="B24" i="4"/>
  <c r="C24" i="4"/>
  <c r="D24" i="4"/>
  <c r="E24" i="4"/>
  <c r="F24" i="4"/>
  <c r="B25" i="4"/>
  <c r="C25" i="4"/>
  <c r="D25" i="4"/>
  <c r="E25" i="4"/>
  <c r="F25" i="4"/>
  <c r="B26" i="4"/>
  <c r="C26" i="4"/>
  <c r="D26" i="4"/>
  <c r="E26" i="4"/>
  <c r="F26" i="4"/>
  <c r="B27" i="4"/>
  <c r="C27" i="4"/>
  <c r="D27" i="4"/>
  <c r="E27" i="4"/>
  <c r="F27" i="4"/>
  <c r="B28" i="4"/>
  <c r="C28" i="4"/>
  <c r="D28" i="4"/>
  <c r="E28" i="4"/>
  <c r="F28" i="4"/>
  <c r="C5" i="4"/>
  <c r="D5" i="4"/>
  <c r="E5" i="4"/>
  <c r="F5" i="4"/>
  <c r="B5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F3" i="4"/>
  <c r="E3" i="4"/>
  <c r="D3" i="4"/>
  <c r="C3" i="4"/>
  <c r="B3" i="4"/>
  <c r="A3" i="4"/>
  <c r="A1" i="4"/>
  <c r="B5" i="3"/>
  <c r="C5" i="3"/>
  <c r="D5" i="3"/>
  <c r="E5" i="3"/>
  <c r="F5" i="3"/>
  <c r="B6" i="3"/>
  <c r="C6" i="3"/>
  <c r="D6" i="3"/>
  <c r="E6" i="3"/>
  <c r="F6" i="3"/>
  <c r="B7" i="3"/>
  <c r="C7" i="3"/>
  <c r="D7" i="3"/>
  <c r="E7" i="3"/>
  <c r="F7" i="3"/>
  <c r="B8" i="3"/>
  <c r="C8" i="3"/>
  <c r="D8" i="3"/>
  <c r="E8" i="3"/>
  <c r="F8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D14" i="3"/>
  <c r="E14" i="3"/>
  <c r="F14" i="3"/>
  <c r="B15" i="3"/>
  <c r="C15" i="3"/>
  <c r="D15" i="3"/>
  <c r="E15" i="3"/>
  <c r="F15" i="3"/>
  <c r="B16" i="3"/>
  <c r="C16" i="3"/>
  <c r="D16" i="3"/>
  <c r="E16" i="3"/>
  <c r="F16" i="3"/>
  <c r="B17" i="3"/>
  <c r="C17" i="3"/>
  <c r="D17" i="3"/>
  <c r="E17" i="3"/>
  <c r="F17" i="3"/>
  <c r="B18" i="3"/>
  <c r="C18" i="3"/>
  <c r="D18" i="3"/>
  <c r="E18" i="3"/>
  <c r="F18" i="3"/>
  <c r="B19" i="3"/>
  <c r="C19" i="3"/>
  <c r="D19" i="3"/>
  <c r="E19" i="3"/>
  <c r="F19" i="3"/>
  <c r="B20" i="3"/>
  <c r="C20" i="3"/>
  <c r="D20" i="3"/>
  <c r="E20" i="3"/>
  <c r="F20" i="3"/>
  <c r="B21" i="3"/>
  <c r="C21" i="3"/>
  <c r="D21" i="3"/>
  <c r="E21" i="3"/>
  <c r="F21" i="3"/>
  <c r="B22" i="3"/>
  <c r="C22" i="3"/>
  <c r="D22" i="3"/>
  <c r="E22" i="3"/>
  <c r="F22" i="3"/>
  <c r="B23" i="3"/>
  <c r="C23" i="3"/>
  <c r="D23" i="3"/>
  <c r="E23" i="3"/>
  <c r="F23" i="3"/>
  <c r="B24" i="3"/>
  <c r="C24" i="3"/>
  <c r="D24" i="3"/>
  <c r="E24" i="3"/>
  <c r="F24" i="3"/>
  <c r="B25" i="3"/>
  <c r="C25" i="3"/>
  <c r="D25" i="3"/>
  <c r="E25" i="3"/>
  <c r="F25" i="3"/>
  <c r="B26" i="3"/>
  <c r="C26" i="3"/>
  <c r="D26" i="3"/>
  <c r="E26" i="3"/>
  <c r="F26" i="3"/>
  <c r="B27" i="3"/>
  <c r="C27" i="3"/>
  <c r="D27" i="3"/>
  <c r="E27" i="3"/>
  <c r="F27" i="3"/>
  <c r="C4" i="3"/>
  <c r="D4" i="3"/>
  <c r="E4" i="3"/>
  <c r="F4" i="3"/>
  <c r="B4" i="3"/>
  <c r="F2" i="3"/>
  <c r="C2" i="3"/>
  <c r="D2" i="3"/>
  <c r="E2" i="3"/>
  <c r="B2" i="3"/>
  <c r="A2" i="3"/>
  <c r="A3" i="3"/>
  <c r="A4" i="3"/>
  <c r="A5" i="3"/>
  <c r="A6" i="3"/>
  <c r="A7" i="3"/>
  <c r="A8" i="3"/>
  <c r="A9" i="3"/>
  <c r="C9" i="3" s="1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1" i="3"/>
  <c r="D9" i="3" l="1"/>
  <c r="E9" i="7"/>
  <c r="F9" i="3"/>
  <c r="B9" i="3"/>
  <c r="E9" i="3"/>
  <c r="B9" i="6"/>
  <c r="D9" i="7"/>
  <c r="C9" i="7"/>
  <c r="F9" i="7"/>
  <c r="B7" i="6"/>
  <c r="B4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B11" i="6"/>
  <c r="E4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B27" i="6"/>
  <c r="B23" i="6"/>
  <c r="B19" i="6"/>
  <c r="B15" i="6"/>
</calcChain>
</file>

<file path=xl/sharedStrings.xml><?xml version="1.0" encoding="utf-8"?>
<sst xmlns="http://schemas.openxmlformats.org/spreadsheetml/2006/main" count="81" uniqueCount="74">
  <si>
    <t>Income Statement of Tata Motors from FY2020 TO FY2024</t>
  </si>
  <si>
    <t>Particulars</t>
  </si>
  <si>
    <t>FY2024</t>
  </si>
  <si>
    <t>FY2023</t>
  </si>
  <si>
    <t>FY2022</t>
  </si>
  <si>
    <t>FY2021</t>
  </si>
  <si>
    <t>FY2020</t>
  </si>
  <si>
    <t>I. Revenue from operations</t>
  </si>
  <si>
    <t>(a) Revenue</t>
  </si>
  <si>
    <t>(b) Other operating revenue</t>
  </si>
  <si>
    <t>Total revenue from operations (I)</t>
  </si>
  <si>
    <t>II. Other Income</t>
  </si>
  <si>
    <t>III. Total Income (I+II)</t>
  </si>
  <si>
    <t>IV. Expenses:</t>
  </si>
  <si>
    <t>(a) Cost of materials consumed</t>
  </si>
  <si>
    <t>(b) Purchases of products for sale</t>
  </si>
  <si>
    <t>(c) Changes in Stock</t>
  </si>
  <si>
    <t>(d) Employee benefits expense</t>
  </si>
  <si>
    <t>(e) Finance costs</t>
  </si>
  <si>
    <t>(f) Foreign exchange loss (net)</t>
  </si>
  <si>
    <t>(g) Depreciation and amortisation expense</t>
  </si>
  <si>
    <t>(h) Product development/Engineering expenses</t>
  </si>
  <si>
    <t>(i) Other expenses</t>
  </si>
  <si>
    <t>(j) Amount transferred to capital and other accounts</t>
  </si>
  <si>
    <t>Total Expenses (IV)</t>
  </si>
  <si>
    <t>V. Profit/(Loss) before exceptional items and tax (III-IV)</t>
  </si>
  <si>
    <t>VI. Exceptional items (Loss) / Gain (Net)</t>
  </si>
  <si>
    <t>VII. Profit/(Loss) before tax</t>
  </si>
  <si>
    <t>VIII. Tax expense / (credit) (net)</t>
  </si>
  <si>
    <t>IX. Profit/(Loss) for the year (PAT)</t>
  </si>
  <si>
    <t>X. Other comprehensive income/(loss) (net of tax)</t>
  </si>
  <si>
    <t>XI. Total comprehensive income/(loss) for the year</t>
  </si>
  <si>
    <t>Balance Sheet of Tata Motors from FY2020 TO FY2024</t>
  </si>
  <si>
    <t>I. ASSETS</t>
  </si>
  <si>
    <t>(1) NON-CURRENT ASSETS</t>
  </si>
  <si>
    <t>Property, plant and equipment (PPE)</t>
  </si>
  <si>
    <t>Capital work-in-progress (CWIP)</t>
  </si>
  <si>
    <t>Right of use assets (ROU)</t>
  </si>
  <si>
    <t>Goodwill</t>
  </si>
  <si>
    <t>Other intangible assets</t>
  </si>
  <si>
    <t>Intangible assets under development</t>
  </si>
  <si>
    <t>Investments in subsidiaries, JVs &amp; associates</t>
  </si>
  <si>
    <t>Financial assets (Investments, Loans, Others)</t>
  </si>
  <si>
    <t>Non-current tax assets (Net)</t>
  </si>
  <si>
    <t>Other non-current assets</t>
  </si>
  <si>
    <t>(2) CURRENT ASSETS</t>
  </si>
  <si>
    <t>Inventories</t>
  </si>
  <si>
    <t>Financial assets (Investments, Trade receivables, Cash &amp; Bank, Loans, Others)</t>
  </si>
  <si>
    <t>Current tax assets (Net)</t>
  </si>
  <si>
    <t>Assets classified as held-for-sale</t>
  </si>
  <si>
    <t>TOTAL ASSETS (1) + (2)</t>
  </si>
  <si>
    <t>II. EQUITY AND LIABILITIES</t>
  </si>
  <si>
    <t>(1) EQUITY</t>
  </si>
  <si>
    <t>Equity share capital</t>
  </si>
  <si>
    <t>Other equity</t>
  </si>
  <si>
    <t>(2) NON-CURRENT LIABILITIES</t>
  </si>
  <si>
    <t>Financial liabilities (Borrowings &amp; Lease)</t>
  </si>
  <si>
    <t>Provisions</t>
  </si>
  <si>
    <t>Deferred tax liabilities (Net)</t>
  </si>
  <si>
    <t>Other non-current liabilities</t>
  </si>
  <si>
    <t>(3) CURRENT LIABILITIES</t>
  </si>
  <si>
    <t>Financial liabilities (Borrowings, Trade Payables, Others)</t>
  </si>
  <si>
    <t>Current tax liabilities (Net)</t>
  </si>
  <si>
    <t>Other current liabilities</t>
  </si>
  <si>
    <t>TOTAL EQUITY AND LIABILITIES (1) + (2) + (3)</t>
  </si>
  <si>
    <t>Income Statement</t>
  </si>
  <si>
    <t>Balance Sheet</t>
  </si>
  <si>
    <t>Comparative Income Statement</t>
  </si>
  <si>
    <t>Comparative Balance Sheet</t>
  </si>
  <si>
    <t>Common Size Income Statement</t>
  </si>
  <si>
    <t>Common Size Balance Sheet</t>
  </si>
  <si>
    <t>Index</t>
  </si>
  <si>
    <t>comparative Income Statement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</si>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</sst>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4" fontId="2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/>
    <xf numFmtId="10" fontId="3" fillId="0" borderId="0" xfId="1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0" fillId="3" borderId="0" xfId="0" applyFill="1"/>
    <xf numFmtId="10" fontId="3" fillId="3" borderId="0" xfId="1" applyNumberFormat="1" applyFont="1" applyFill="1" applyAlignment="1">
      <alignment vertical="center"/>
    </xf>
    <xf numFmtId="0" fontId="4" fillId="0" borderId="0" xfId="2"/>
    <xf numFmtId="0" fontId="2" fillId="4" borderId="0" xfId="0" applyFont="1" applyFill="1"/>
    <xf numFmtId="0" fontId="2" fillId="5" borderId="0" xfId="0" applyFont="1" applyFill="1"/>
    <xf numFmtId="0" fontId="2" fillId="5" borderId="0" xfId="0" applyFont="1" applyFill="1" applyAlignment="1">
      <alignment horizontal="left" vertical="center" wrapText="1"/>
    </xf>
    <xf numFmtId="10" fontId="0" fillId="0" borderId="0" xfId="1" applyNumberFormat="1" applyFont="1"/>
    <xf numFmtId="0" fontId="2" fillId="3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38C5D-C868-4992-BFA3-6790FD815A31}">
  <dimension ref="A1:B7"/>
  <sheetViews>
    <sheetView zoomScale="115" zoomScaleNormal="115" workbookViewId="0">
      <selection activeCell="E7" sqref="E7"/>
    </sheetView>
  </sheetViews>
  <sheetFormatPr defaultRowHeight="14.5" x14ac:dyDescent="0.35"/>
  <cols>
    <col min="2" max="2" width="37" customWidth="1"/>
  </cols>
  <sheetData>
    <row r="1" spans="1:2" x14ac:dyDescent="0.35">
      <c r="B1" s="1" t="s">
        <v>71</v>
      </c>
    </row>
    <row r="2" spans="1:2" x14ac:dyDescent="0.35">
      <c r="A2">
        <v>1</v>
      </c>
      <c r="B2" s="19" t="s">
        <v>65</v>
      </c>
    </row>
    <row r="3" spans="1:2" x14ac:dyDescent="0.35">
      <c r="A3">
        <v>2</v>
      </c>
      <c r="B3" s="19" t="s">
        <v>66</v>
      </c>
    </row>
    <row r="4" spans="1:2" x14ac:dyDescent="0.35">
      <c r="A4">
        <v>3</v>
      </c>
      <c r="B4" s="19" t="s">
        <v>67</v>
      </c>
    </row>
    <row r="5" spans="1:2" x14ac:dyDescent="0.35">
      <c r="A5">
        <v>4</v>
      </c>
      <c r="B5" s="19" t="s">
        <v>68</v>
      </c>
    </row>
    <row r="6" spans="1:2" x14ac:dyDescent="0.35">
      <c r="A6">
        <v>5</v>
      </c>
      <c r="B6" s="19" t="s">
        <v>69</v>
      </c>
    </row>
    <row r="7" spans="1:2" x14ac:dyDescent="0.35">
      <c r="A7">
        <v>6</v>
      </c>
      <c r="B7" s="19" t="s">
        <v>70</v>
      </c>
    </row>
  </sheetData>
  <hyperlinks>
    <hyperlink ref="B2" location="IS!A1" display="Income Statement" xr:uid="{16220E4E-581F-4E2B-9784-7962569A7902}"/>
    <hyperlink ref="B3" location="BS!A1" display="Balance Sheet" xr:uid="{3C8478F7-04CB-4704-8CE8-CD948A5AE6BB}"/>
    <hyperlink ref="B4" location="IS_COMP!A1" display="Comparative Income Statement" xr:uid="{0CA8B8D6-4DB8-4703-B2DA-6DE7A87CB1C7}"/>
    <hyperlink ref="B5" location="BS_COMP!A1" display="Comparative Balance Sheet" xr:uid="{37410B44-3B0E-4D04-989C-A0235A24128D}"/>
    <hyperlink ref="B6" location="IS_COMM!A1" display="Common Size Income Statement" xr:uid="{AED39BF8-C826-424B-B1D8-1D44EAFF67F5}"/>
    <hyperlink ref="B7" location="BS_COMM!A1" display="Common Size Balance Sheet" xr:uid="{C5D4397F-374A-4D48-A880-4CB54053AD4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4CBC-2099-483D-BECB-9A95688A5415}">
  <dimension ref="A1:F27"/>
  <sheetViews>
    <sheetView topLeftCell="A2" zoomScale="115" zoomScaleNormal="115" workbookViewId="0">
      <selection activeCell="G8" sqref="G8"/>
    </sheetView>
  </sheetViews>
  <sheetFormatPr defaultRowHeight="14.5" x14ac:dyDescent="0.35"/>
  <cols>
    <col min="1" max="1" width="53.7265625" customWidth="1"/>
    <col min="2" max="6" width="9.1796875" bestFit="1" customWidth="1"/>
  </cols>
  <sheetData>
    <row r="1" spans="1:6" x14ac:dyDescent="0.35">
      <c r="A1" s="1" t="s">
        <v>0</v>
      </c>
    </row>
    <row r="2" spans="1:6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35">
      <c r="A3" s="2" t="s">
        <v>7</v>
      </c>
      <c r="B3" s="3"/>
      <c r="C3" s="3"/>
      <c r="D3" s="3"/>
      <c r="E3" s="3"/>
      <c r="F3" s="3"/>
    </row>
    <row r="4" spans="1:6" x14ac:dyDescent="0.35">
      <c r="A4" s="3" t="s">
        <v>8</v>
      </c>
      <c r="B4" s="4">
        <v>72745.919999999998</v>
      </c>
      <c r="C4" s="4">
        <v>65298.84</v>
      </c>
      <c r="D4" s="4">
        <v>46880.97</v>
      </c>
      <c r="E4" s="4">
        <v>46559.39</v>
      </c>
      <c r="F4" s="4">
        <v>43485.760000000002</v>
      </c>
    </row>
    <row r="5" spans="1:6" x14ac:dyDescent="0.35">
      <c r="A5" s="3" t="s">
        <v>9</v>
      </c>
      <c r="B5" s="5">
        <v>557.16</v>
      </c>
      <c r="C5" s="5">
        <v>458.49</v>
      </c>
      <c r="D5" s="5">
        <v>382.71</v>
      </c>
      <c r="E5" s="5">
        <v>472.08</v>
      </c>
      <c r="F5" s="5">
        <v>442.41</v>
      </c>
    </row>
    <row r="6" spans="1:6" x14ac:dyDescent="0.35">
      <c r="A6" s="2" t="s">
        <v>10</v>
      </c>
      <c r="B6" s="6">
        <v>73303.08</v>
      </c>
      <c r="C6" s="6">
        <v>65757.33</v>
      </c>
      <c r="D6" s="6">
        <v>47263.68</v>
      </c>
      <c r="E6" s="6">
        <v>47031.47</v>
      </c>
      <c r="F6" s="6">
        <v>43928.17</v>
      </c>
    </row>
    <row r="7" spans="1:6" x14ac:dyDescent="0.35">
      <c r="A7" s="2" t="s">
        <v>11</v>
      </c>
      <c r="B7" s="6">
        <v>1149.8800000000001</v>
      </c>
      <c r="C7" s="7">
        <v>820.94</v>
      </c>
      <c r="D7" s="7">
        <v>659.91</v>
      </c>
      <c r="E7" s="7">
        <v>842.96</v>
      </c>
      <c r="F7" s="6">
        <v>1383.05</v>
      </c>
    </row>
    <row r="8" spans="1:6" x14ac:dyDescent="0.35">
      <c r="A8" s="2" t="s">
        <v>12</v>
      </c>
      <c r="B8" s="6">
        <v>74452.960000000006</v>
      </c>
      <c r="C8" s="6">
        <v>66578.27</v>
      </c>
      <c r="D8" s="6">
        <v>47923.59</v>
      </c>
      <c r="E8" s="6">
        <v>47874.43</v>
      </c>
      <c r="F8" s="6">
        <v>45311.22</v>
      </c>
    </row>
    <row r="9" spans="1:6" x14ac:dyDescent="0.35">
      <c r="A9" s="2" t="s">
        <v>13</v>
      </c>
      <c r="B9" s="5"/>
      <c r="C9" s="5"/>
      <c r="D9" s="5"/>
      <c r="E9" s="5"/>
      <c r="F9" s="5"/>
    </row>
    <row r="10" spans="1:6" x14ac:dyDescent="0.35">
      <c r="A10" s="3" t="s">
        <v>14</v>
      </c>
      <c r="B10" s="4">
        <v>46757.279999999999</v>
      </c>
      <c r="C10" s="4">
        <v>42226.81</v>
      </c>
      <c r="D10" s="4">
        <v>31693.11</v>
      </c>
      <c r="E10" s="4">
        <v>28493.119999999999</v>
      </c>
      <c r="F10" s="4">
        <v>26171.85</v>
      </c>
    </row>
    <row r="11" spans="1:6" x14ac:dyDescent="0.35">
      <c r="A11" s="3" t="s">
        <v>15</v>
      </c>
      <c r="B11" s="4">
        <v>6707.03</v>
      </c>
      <c r="C11" s="4">
        <v>6561.32</v>
      </c>
      <c r="D11" s="4">
        <v>5030</v>
      </c>
      <c r="E11" s="4">
        <v>7518.05</v>
      </c>
      <c r="F11" s="4">
        <v>5679.98</v>
      </c>
    </row>
    <row r="12" spans="1:6" x14ac:dyDescent="0.35">
      <c r="A12" s="3" t="s">
        <v>16</v>
      </c>
      <c r="B12" s="4">
        <v>1736.35</v>
      </c>
      <c r="C12" s="5">
        <v>484.69</v>
      </c>
      <c r="D12" s="5">
        <v>-403.87</v>
      </c>
      <c r="E12" s="5">
        <v>-108.48</v>
      </c>
      <c r="F12" s="5">
        <v>722.68</v>
      </c>
    </row>
    <row r="13" spans="1:6" x14ac:dyDescent="0.35">
      <c r="A13" s="3" t="s">
        <v>17</v>
      </c>
      <c r="B13" s="4">
        <v>4308.1499999999996</v>
      </c>
      <c r="C13" s="4">
        <v>4021.63</v>
      </c>
      <c r="D13" s="4">
        <v>3601.51</v>
      </c>
      <c r="E13" s="4">
        <v>3987.72</v>
      </c>
      <c r="F13" s="4">
        <v>4384.3100000000004</v>
      </c>
    </row>
    <row r="14" spans="1:6" x14ac:dyDescent="0.35">
      <c r="A14" s="3" t="s">
        <v>18</v>
      </c>
      <c r="B14" s="4">
        <v>1705.74</v>
      </c>
      <c r="C14" s="4">
        <v>2047.51</v>
      </c>
      <c r="D14" s="4">
        <v>2121.73</v>
      </c>
      <c r="E14" s="4">
        <v>2288.61</v>
      </c>
      <c r="F14" s="4">
        <v>1973</v>
      </c>
    </row>
    <row r="15" spans="1:6" x14ac:dyDescent="0.35">
      <c r="A15" s="3" t="s">
        <v>19</v>
      </c>
      <c r="B15" s="5">
        <v>200.72</v>
      </c>
      <c r="C15" s="5">
        <v>279.76</v>
      </c>
      <c r="D15" s="5">
        <v>136.81</v>
      </c>
      <c r="E15" s="5">
        <v>29.02</v>
      </c>
      <c r="F15" s="5">
        <v>239</v>
      </c>
    </row>
    <row r="16" spans="1:6" x14ac:dyDescent="0.35">
      <c r="A16" s="3" t="s">
        <v>20</v>
      </c>
      <c r="B16" s="4">
        <v>2016.84</v>
      </c>
      <c r="C16" s="4">
        <v>1766.86</v>
      </c>
      <c r="D16" s="4">
        <v>1760.57</v>
      </c>
      <c r="E16" s="4">
        <v>3325.8</v>
      </c>
      <c r="F16" s="4">
        <v>3375.29</v>
      </c>
    </row>
    <row r="17" spans="1:6" x14ac:dyDescent="0.35">
      <c r="A17" s="3" t="s">
        <v>21</v>
      </c>
      <c r="B17" s="4">
        <v>1104.79</v>
      </c>
      <c r="C17" s="5">
        <v>899.06</v>
      </c>
      <c r="D17" s="5">
        <v>593.9</v>
      </c>
      <c r="E17" s="5">
        <v>907.44</v>
      </c>
      <c r="F17" s="5">
        <v>830.24</v>
      </c>
    </row>
    <row r="18" spans="1:6" x14ac:dyDescent="0.35">
      <c r="A18" s="3" t="s">
        <v>22</v>
      </c>
      <c r="B18" s="4">
        <v>7610.15</v>
      </c>
      <c r="C18" s="4">
        <v>7819.74</v>
      </c>
      <c r="D18" s="4">
        <v>6018.71</v>
      </c>
      <c r="E18" s="4">
        <v>5612.48</v>
      </c>
      <c r="F18" s="4">
        <v>7720.75</v>
      </c>
    </row>
    <row r="19" spans="1:6" x14ac:dyDescent="0.35">
      <c r="A19" s="3" t="s">
        <v>23</v>
      </c>
      <c r="B19" s="4">
        <v>-1129.73</v>
      </c>
      <c r="C19" s="4">
        <v>-1066.73</v>
      </c>
      <c r="D19" s="5">
        <v>-905.42</v>
      </c>
      <c r="E19" s="5">
        <v>-817.53</v>
      </c>
      <c r="F19" s="4">
        <v>-1169.46</v>
      </c>
    </row>
    <row r="20" spans="1:6" x14ac:dyDescent="0.35">
      <c r="A20" s="2" t="s">
        <v>24</v>
      </c>
      <c r="B20" s="6">
        <v>69317.320000000007</v>
      </c>
      <c r="C20" s="6">
        <v>65040.65</v>
      </c>
      <c r="D20" s="6">
        <v>49647.05</v>
      </c>
      <c r="E20" s="6">
        <v>51239.38</v>
      </c>
      <c r="F20" s="6">
        <v>49927.64</v>
      </c>
    </row>
    <row r="21" spans="1:6" x14ac:dyDescent="0.35">
      <c r="A21" s="2" t="s">
        <v>25</v>
      </c>
      <c r="B21" s="6">
        <v>5135.6400000000003</v>
      </c>
      <c r="C21" s="6">
        <v>1537.62</v>
      </c>
      <c r="D21" s="6">
        <v>-1723.46</v>
      </c>
      <c r="E21" s="6">
        <v>-3364.95</v>
      </c>
      <c r="F21" s="6">
        <v>-4616.42</v>
      </c>
    </row>
    <row r="22" spans="1:6" x14ac:dyDescent="0.35">
      <c r="A22" s="3" t="s">
        <v>26</v>
      </c>
      <c r="B22" s="4">
        <v>-2808.41</v>
      </c>
      <c r="C22" s="5">
        <v>282.82</v>
      </c>
      <c r="D22" s="5">
        <v>-83.41</v>
      </c>
      <c r="E22" s="5">
        <v>-37.85</v>
      </c>
      <c r="F22" s="4">
        <v>2510.92</v>
      </c>
    </row>
    <row r="23" spans="1:6" x14ac:dyDescent="0.35">
      <c r="A23" s="2" t="s">
        <v>27</v>
      </c>
      <c r="B23" s="6">
        <v>7850.82</v>
      </c>
      <c r="C23" s="6">
        <v>1254.8</v>
      </c>
      <c r="D23" s="6">
        <v>-1247.54</v>
      </c>
      <c r="E23" s="6">
        <v>-2350.42</v>
      </c>
      <c r="F23" s="6">
        <v>-7127.34</v>
      </c>
    </row>
    <row r="24" spans="1:6" x14ac:dyDescent="0.35">
      <c r="A24" s="3" t="s">
        <v>28</v>
      </c>
      <c r="B24" s="5">
        <v>-51.26</v>
      </c>
      <c r="C24" s="4">
        <v>-1473.33</v>
      </c>
      <c r="D24" s="5">
        <v>143.32</v>
      </c>
      <c r="E24" s="5">
        <v>82.87</v>
      </c>
      <c r="F24" s="5">
        <v>162.29</v>
      </c>
    </row>
    <row r="25" spans="1:6" x14ac:dyDescent="0.35">
      <c r="A25" s="2" t="s">
        <v>29</v>
      </c>
      <c r="B25" s="6">
        <v>7902.08</v>
      </c>
      <c r="C25" s="6">
        <v>2728.13</v>
      </c>
      <c r="D25" s="6">
        <v>-1390.86</v>
      </c>
      <c r="E25" s="6">
        <v>-2395.44</v>
      </c>
      <c r="F25" s="6">
        <v>-7289.63</v>
      </c>
    </row>
    <row r="26" spans="1:6" x14ac:dyDescent="0.35">
      <c r="A26" s="3" t="s">
        <v>30</v>
      </c>
      <c r="B26" s="5">
        <v>436.56</v>
      </c>
      <c r="C26" s="5">
        <v>-276.49</v>
      </c>
      <c r="D26" s="5">
        <v>123.68</v>
      </c>
      <c r="E26" s="5">
        <v>442.99</v>
      </c>
      <c r="F26" s="5">
        <v>-378.72</v>
      </c>
    </row>
    <row r="27" spans="1:6" x14ac:dyDescent="0.35">
      <c r="A27" s="2" t="s">
        <v>31</v>
      </c>
      <c r="B27" s="6">
        <v>8338.64</v>
      </c>
      <c r="C27" s="6">
        <v>2451.64</v>
      </c>
      <c r="D27" s="6">
        <v>-1267.18</v>
      </c>
      <c r="E27" s="6">
        <v>-1952.45</v>
      </c>
      <c r="F27" s="6">
        <v>-7668.35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C7F2E-6F98-4A65-8B1D-1C299118C8C5}">
  <dimension ref="A1:F36"/>
  <sheetViews>
    <sheetView topLeftCell="A10" zoomScale="115" zoomScaleNormal="115" workbookViewId="0">
      <selection activeCell="A4" sqref="A4"/>
    </sheetView>
  </sheetViews>
  <sheetFormatPr defaultRowHeight="14.5" x14ac:dyDescent="0.35"/>
  <cols>
    <col min="1" max="1" width="54.453125" customWidth="1"/>
    <col min="2" max="6" width="9.1796875" bestFit="1" customWidth="1"/>
  </cols>
  <sheetData>
    <row r="1" spans="1:6" x14ac:dyDescent="0.35">
      <c r="A1" s="1" t="s">
        <v>32</v>
      </c>
    </row>
    <row r="2" spans="1:6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35">
      <c r="A3" s="2" t="s">
        <v>33</v>
      </c>
      <c r="B3" s="3"/>
      <c r="C3" s="3"/>
      <c r="D3" s="3"/>
      <c r="E3" s="3"/>
      <c r="F3" s="3"/>
    </row>
    <row r="4" spans="1:6" x14ac:dyDescent="0.35">
      <c r="A4" s="2" t="s">
        <v>34</v>
      </c>
      <c r="B4" s="8">
        <v>36133.089999999997</v>
      </c>
      <c r="C4" s="8">
        <v>33060.22</v>
      </c>
      <c r="D4" s="8">
        <v>30958.82</v>
      </c>
      <c r="E4" s="8">
        <v>30283.65</v>
      </c>
      <c r="F4" s="8">
        <v>47242.06</v>
      </c>
    </row>
    <row r="5" spans="1:6" x14ac:dyDescent="0.35">
      <c r="A5" s="3" t="s">
        <v>35</v>
      </c>
      <c r="B5" s="9">
        <v>12056.24</v>
      </c>
      <c r="C5" s="9">
        <v>12176.6</v>
      </c>
      <c r="D5" s="9">
        <v>11811.02</v>
      </c>
      <c r="E5" s="9">
        <v>17143.04</v>
      </c>
      <c r="F5" s="9">
        <v>18870.669999999998</v>
      </c>
    </row>
    <row r="6" spans="1:6" x14ac:dyDescent="0.35">
      <c r="A6" s="3" t="s">
        <v>36</v>
      </c>
      <c r="B6" s="10">
        <v>575.65</v>
      </c>
      <c r="C6" s="10">
        <v>575.65</v>
      </c>
      <c r="D6" s="10">
        <v>585.21</v>
      </c>
      <c r="E6" s="9">
        <v>1324.21</v>
      </c>
      <c r="F6" s="9">
        <v>1755.51</v>
      </c>
    </row>
    <row r="7" spans="1:6" x14ac:dyDescent="0.35">
      <c r="A7" s="3" t="s">
        <v>37</v>
      </c>
      <c r="B7" s="10">
        <v>338.25</v>
      </c>
      <c r="C7" s="10">
        <v>344.2</v>
      </c>
      <c r="D7" s="10">
        <v>332.45</v>
      </c>
      <c r="E7" s="10">
        <v>979.48</v>
      </c>
      <c r="F7" s="10">
        <v>669.58</v>
      </c>
    </row>
    <row r="8" spans="1:6" x14ac:dyDescent="0.35">
      <c r="A8" s="3" t="s">
        <v>38</v>
      </c>
      <c r="B8" s="10">
        <v>99.09</v>
      </c>
      <c r="C8" s="10">
        <v>99.09</v>
      </c>
      <c r="D8" s="10">
        <v>99.09</v>
      </c>
      <c r="E8" s="10">
        <v>99.09</v>
      </c>
      <c r="F8" s="10">
        <v>99.09</v>
      </c>
    </row>
    <row r="9" spans="1:6" x14ac:dyDescent="0.35">
      <c r="A9" s="3" t="s">
        <v>39</v>
      </c>
      <c r="B9" s="9">
        <v>1768.49</v>
      </c>
      <c r="C9" s="9">
        <v>1914.76</v>
      </c>
      <c r="D9" s="9">
        <v>2009.87</v>
      </c>
      <c r="E9" s="9">
        <v>6156.56</v>
      </c>
      <c r="F9" s="9">
        <v>5568.64</v>
      </c>
    </row>
    <row r="10" spans="1:6" x14ac:dyDescent="0.35">
      <c r="A10" s="3" t="s">
        <v>40</v>
      </c>
      <c r="B10" s="10">
        <v>509.3</v>
      </c>
      <c r="C10" s="10">
        <v>509.3</v>
      </c>
      <c r="D10" s="10">
        <v>882.03</v>
      </c>
      <c r="E10" s="9">
        <v>1604.23</v>
      </c>
      <c r="F10" s="9">
        <v>2739.29</v>
      </c>
    </row>
    <row r="11" spans="1:6" x14ac:dyDescent="0.35">
      <c r="A11" s="3" t="s">
        <v>41</v>
      </c>
      <c r="B11" s="9">
        <v>25819.34</v>
      </c>
      <c r="C11" s="9">
        <v>27976.799999999999</v>
      </c>
      <c r="D11" s="9">
        <v>24723.34</v>
      </c>
      <c r="E11" s="9">
        <v>14287.8</v>
      </c>
      <c r="F11" s="9">
        <v>15182.29</v>
      </c>
    </row>
    <row r="12" spans="1:6" x14ac:dyDescent="0.35">
      <c r="A12" s="3" t="s">
        <v>42</v>
      </c>
      <c r="B12" s="9">
        <v>-1283.47</v>
      </c>
      <c r="C12" s="9">
        <v>-1402.16</v>
      </c>
      <c r="D12" s="9">
        <v>-1507.57</v>
      </c>
      <c r="E12" s="9">
        <v>1691.01</v>
      </c>
      <c r="F12" s="9">
        <v>2204.5300000000002</v>
      </c>
    </row>
    <row r="13" spans="1:6" x14ac:dyDescent="0.35">
      <c r="A13" s="3" t="s">
        <v>43</v>
      </c>
      <c r="B13" s="9">
        <v>1751.48</v>
      </c>
      <c r="C13" s="9">
        <v>1909.8</v>
      </c>
      <c r="D13" s="9">
        <v>1847.16</v>
      </c>
      <c r="E13" s="10">
        <v>741.02</v>
      </c>
      <c r="F13" s="10">
        <v>727.97</v>
      </c>
    </row>
    <row r="14" spans="1:6" x14ac:dyDescent="0.35">
      <c r="A14" s="3" t="s">
        <v>44</v>
      </c>
      <c r="B14" s="9">
        <v>-1301.98</v>
      </c>
      <c r="C14" s="9">
        <v>-1439.42</v>
      </c>
      <c r="D14" s="9">
        <v>-2059.4499999999998</v>
      </c>
      <c r="E14" s="9">
        <v>1056.77</v>
      </c>
      <c r="F14" s="9">
        <v>1208.08</v>
      </c>
    </row>
    <row r="15" spans="1:6" x14ac:dyDescent="0.35">
      <c r="A15" s="2" t="s">
        <v>45</v>
      </c>
      <c r="B15" s="8">
        <v>36258.71</v>
      </c>
      <c r="C15" s="8">
        <v>26868.97</v>
      </c>
      <c r="D15" s="8">
        <v>26792.13</v>
      </c>
      <c r="E15" s="8">
        <v>25309.78</v>
      </c>
      <c r="F15" s="8">
        <v>7861.82</v>
      </c>
    </row>
    <row r="16" spans="1:6" x14ac:dyDescent="0.35">
      <c r="A16" s="3" t="s">
        <v>46</v>
      </c>
      <c r="B16" s="9">
        <v>8247.7800000000007</v>
      </c>
      <c r="C16" s="9">
        <v>5515.22</v>
      </c>
      <c r="D16" s="9">
        <v>5348.88</v>
      </c>
      <c r="E16" s="9">
        <v>5084.7</v>
      </c>
      <c r="F16" s="9">
        <v>6654.89</v>
      </c>
    </row>
    <row r="17" spans="1:6" ht="29" x14ac:dyDescent="0.35">
      <c r="A17" s="3" t="s">
        <v>47</v>
      </c>
      <c r="B17" s="9">
        <v>26819.29</v>
      </c>
      <c r="C17" s="9">
        <v>20401.759999999998</v>
      </c>
      <c r="D17" s="9">
        <v>20689.84</v>
      </c>
      <c r="E17" s="9">
        <v>19307.38</v>
      </c>
      <c r="F17" s="10">
        <v>913.68</v>
      </c>
    </row>
    <row r="18" spans="1:6" x14ac:dyDescent="0.35">
      <c r="A18" s="3" t="s">
        <v>48</v>
      </c>
      <c r="B18" s="10">
        <v>108.76</v>
      </c>
      <c r="C18" s="10">
        <v>98.49</v>
      </c>
      <c r="D18" s="10">
        <v>27.6</v>
      </c>
      <c r="E18" s="10">
        <v>4.3899999999999997</v>
      </c>
      <c r="F18" s="10">
        <v>102.5</v>
      </c>
    </row>
    <row r="19" spans="1:6" x14ac:dyDescent="0.35">
      <c r="A19" s="3" t="s">
        <v>49</v>
      </c>
      <c r="B19" s="10">
        <v>64.92</v>
      </c>
      <c r="C19" s="10">
        <v>827.78</v>
      </c>
      <c r="D19" s="10">
        <v>725.81</v>
      </c>
      <c r="E19" s="10">
        <v>913.31</v>
      </c>
      <c r="F19" s="10">
        <v>190.75</v>
      </c>
    </row>
    <row r="20" spans="1:6" x14ac:dyDescent="0.35">
      <c r="A20" s="2" t="s">
        <v>50</v>
      </c>
      <c r="B20" s="8">
        <v>72391.8</v>
      </c>
      <c r="C20" s="8">
        <v>59929.19</v>
      </c>
      <c r="D20" s="8">
        <v>57750.95</v>
      </c>
      <c r="E20" s="8">
        <v>55593.43</v>
      </c>
      <c r="F20" s="8">
        <v>55103.88</v>
      </c>
    </row>
    <row r="21" spans="1:6" x14ac:dyDescent="0.35">
      <c r="A21" s="3"/>
      <c r="B21" s="10"/>
      <c r="C21" s="10"/>
      <c r="D21" s="10"/>
      <c r="E21" s="10"/>
      <c r="F21" s="10"/>
    </row>
    <row r="22" spans="1:6" x14ac:dyDescent="0.35">
      <c r="A22" s="2" t="s">
        <v>51</v>
      </c>
      <c r="B22" s="10"/>
      <c r="C22" s="10"/>
      <c r="D22" s="10"/>
      <c r="E22" s="10"/>
      <c r="F22" s="10"/>
    </row>
    <row r="23" spans="1:6" x14ac:dyDescent="0.35">
      <c r="A23" s="2" t="s">
        <v>52</v>
      </c>
      <c r="B23" s="8">
        <v>34068.79</v>
      </c>
      <c r="C23" s="8">
        <v>28683.65</v>
      </c>
      <c r="D23" s="8">
        <v>27786.17</v>
      </c>
      <c r="E23" s="8">
        <v>27173.34</v>
      </c>
      <c r="F23" s="8">
        <v>24545.91</v>
      </c>
    </row>
    <row r="24" spans="1:6" x14ac:dyDescent="0.35">
      <c r="A24" s="3" t="s">
        <v>53</v>
      </c>
      <c r="B24" s="10">
        <v>766.49</v>
      </c>
      <c r="C24" s="10">
        <v>766.02</v>
      </c>
      <c r="D24" s="10">
        <v>765.88</v>
      </c>
      <c r="E24" s="10">
        <v>765.81</v>
      </c>
      <c r="F24" s="10">
        <v>719.54</v>
      </c>
    </row>
    <row r="25" spans="1:6" x14ac:dyDescent="0.35">
      <c r="A25" s="3" t="s">
        <v>54</v>
      </c>
      <c r="B25" s="9">
        <v>33302.300000000003</v>
      </c>
      <c r="C25" s="9">
        <v>27917.63</v>
      </c>
      <c r="D25" s="9">
        <v>27020.29</v>
      </c>
      <c r="E25" s="9">
        <v>26407.53</v>
      </c>
      <c r="F25" s="9">
        <v>23826.37</v>
      </c>
    </row>
    <row r="26" spans="1:6" x14ac:dyDescent="0.35">
      <c r="A26" s="2" t="s">
        <v>55</v>
      </c>
      <c r="B26" s="8">
        <v>14449.18</v>
      </c>
      <c r="C26" s="8">
        <v>10501.71</v>
      </c>
      <c r="D26" s="8">
        <v>9436.56</v>
      </c>
      <c r="E26" s="8">
        <v>10544.75</v>
      </c>
      <c r="F26" s="8">
        <v>13293.48</v>
      </c>
    </row>
    <row r="27" spans="1:6" x14ac:dyDescent="0.35">
      <c r="A27" s="3" t="s">
        <v>56</v>
      </c>
      <c r="B27" s="9">
        <v>11632.4</v>
      </c>
      <c r="C27" s="9">
        <v>7654.51</v>
      </c>
      <c r="D27" s="9">
        <v>6560.85</v>
      </c>
      <c r="E27" s="9">
        <v>7728.84</v>
      </c>
      <c r="F27" s="9">
        <v>10234.34</v>
      </c>
    </row>
    <row r="28" spans="1:6" x14ac:dyDescent="0.35">
      <c r="A28" s="3" t="s">
        <v>57</v>
      </c>
      <c r="B28" s="9">
        <v>2752.48</v>
      </c>
      <c r="C28" s="9">
        <v>2787.05</v>
      </c>
      <c r="D28" s="9">
        <v>2828.53</v>
      </c>
      <c r="E28" s="9">
        <v>2776.99</v>
      </c>
      <c r="F28" s="9">
        <v>3030.14</v>
      </c>
    </row>
    <row r="29" spans="1:6" x14ac:dyDescent="0.35">
      <c r="A29" s="3" t="s">
        <v>58</v>
      </c>
      <c r="B29" s="10">
        <v>-7.8</v>
      </c>
      <c r="C29" s="10">
        <v>1.83</v>
      </c>
      <c r="D29" s="10">
        <v>1.84</v>
      </c>
      <c r="E29" s="10">
        <v>-373.19</v>
      </c>
      <c r="F29" s="10">
        <v>7.92</v>
      </c>
    </row>
    <row r="30" spans="1:6" x14ac:dyDescent="0.35">
      <c r="A30" s="3" t="s">
        <v>59</v>
      </c>
      <c r="B30" s="10">
        <v>72.099999999999994</v>
      </c>
      <c r="C30" s="10">
        <v>58.32</v>
      </c>
      <c r="D30" s="10">
        <v>45.34</v>
      </c>
      <c r="E30" s="10">
        <v>412</v>
      </c>
      <c r="F30" s="10">
        <v>21.08</v>
      </c>
    </row>
    <row r="31" spans="1:6" x14ac:dyDescent="0.35">
      <c r="A31" s="2" t="s">
        <v>60</v>
      </c>
      <c r="B31" s="8">
        <v>23873.83</v>
      </c>
      <c r="C31" s="8">
        <v>20743.830000000002</v>
      </c>
      <c r="D31" s="8">
        <v>20528.22</v>
      </c>
      <c r="E31" s="8">
        <v>17875.34</v>
      </c>
      <c r="F31" s="8">
        <v>17264.490000000002</v>
      </c>
    </row>
    <row r="32" spans="1:6" x14ac:dyDescent="0.35">
      <c r="A32" s="3" t="s">
        <v>61</v>
      </c>
      <c r="B32" s="9">
        <v>22234.33</v>
      </c>
      <c r="C32" s="9">
        <v>18973.91</v>
      </c>
      <c r="D32" s="9">
        <v>18913.34</v>
      </c>
      <c r="E32" s="9">
        <v>16339.06</v>
      </c>
      <c r="F32" s="9">
        <v>15360.7</v>
      </c>
    </row>
    <row r="33" spans="1:6" x14ac:dyDescent="0.35">
      <c r="A33" s="3" t="s">
        <v>57</v>
      </c>
      <c r="B33" s="9">
        <v>1023.7</v>
      </c>
      <c r="C33" s="9">
        <v>1087.49</v>
      </c>
      <c r="D33" s="10">
        <v>913.04</v>
      </c>
      <c r="E33" s="10">
        <v>910.16</v>
      </c>
      <c r="F33" s="9">
        <v>1043.54</v>
      </c>
    </row>
    <row r="34" spans="1:6" x14ac:dyDescent="0.35">
      <c r="A34" s="3" t="s">
        <v>62</v>
      </c>
      <c r="B34" s="10">
        <v>148.16</v>
      </c>
      <c r="C34" s="10">
        <v>212.72</v>
      </c>
      <c r="D34" s="10">
        <v>19.82</v>
      </c>
      <c r="E34" s="10">
        <v>87.05</v>
      </c>
      <c r="F34" s="10">
        <v>295.33999999999997</v>
      </c>
    </row>
    <row r="35" spans="1:6" x14ac:dyDescent="0.35">
      <c r="A35" s="3" t="s">
        <v>63</v>
      </c>
      <c r="B35" s="10">
        <v>467.64</v>
      </c>
      <c r="C35" s="10">
        <v>469.71</v>
      </c>
      <c r="D35" s="10">
        <v>682.02</v>
      </c>
      <c r="E35" s="10">
        <v>539.07000000000005</v>
      </c>
      <c r="F35" s="10">
        <v>564.91</v>
      </c>
    </row>
    <row r="36" spans="1:6" x14ac:dyDescent="0.35">
      <c r="A36" s="2" t="s">
        <v>64</v>
      </c>
      <c r="B36" s="8">
        <v>72391.8</v>
      </c>
      <c r="C36" s="8">
        <v>59929.19</v>
      </c>
      <c r="D36" s="8">
        <v>57750.95</v>
      </c>
      <c r="E36" s="8">
        <v>55593.43</v>
      </c>
      <c r="F36" s="8">
        <v>55103.88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16C6-D221-4B18-86EE-7939BCE76362}">
  <dimension ref="A1:F29"/>
  <sheetViews>
    <sheetView tabSelected="1" workbookViewId="0">
      <selection activeCell="A4" sqref="A4"/>
    </sheetView>
  </sheetViews>
  <sheetFormatPr defaultRowHeight="14.5" x14ac:dyDescent="0.35"/>
  <cols>
    <col min="1" max="1" width="53.6328125" customWidth="1"/>
    <col min="2" max="2" width="13" customWidth="1"/>
    <col min="3" max="3" width="15.54296875" customWidth="1"/>
    <col min="4" max="4" width="13.90625" customWidth="1"/>
    <col min="5" max="5" width="14.90625" customWidth="1"/>
    <col min="6" max="6" width="13.1796875" customWidth="1"/>
  </cols>
  <sheetData>
    <row r="1" spans="1:6" x14ac:dyDescent="0.35">
      <c r="A1" s="1" t="str">
        <f>IS!A1</f>
        <v>Income Statement of Tata Motors from FY2020 TO FY2024</v>
      </c>
    </row>
    <row r="2" spans="1:6" x14ac:dyDescent="0.35">
      <c r="A2" s="1" t="str">
        <f>IS!A2</f>
        <v>Particulars</v>
      </c>
      <c r="B2" s="2" t="str">
        <f>IS!B2</f>
        <v>FY2024</v>
      </c>
      <c r="C2" s="2" t="str">
        <f>IS!C2</f>
        <v>FY2023</v>
      </c>
      <c r="D2" s="2" t="str">
        <f>IS!D2</f>
        <v>FY2022</v>
      </c>
      <c r="E2" s="2" t="str">
        <f>IS!E2</f>
        <v>FY2021</v>
      </c>
      <c r="F2" s="2" t="str">
        <f>IS!F2</f>
        <v>FY2020</v>
      </c>
    </row>
    <row r="3" spans="1:6" x14ac:dyDescent="0.35">
      <c r="A3" s="1" t="str">
        <f>IS!A3</f>
        <v>I. Revenue from operations</v>
      </c>
    </row>
    <row r="4" spans="1:6" x14ac:dyDescent="0.35">
      <c r="A4" s="1" t="str">
        <f>IS!A4</f>
        <v>(a) Revenue</v>
      </c>
      <c r="B4" s="11">
        <f>_xlfn.XLOOKUP($A4,IS!$A$1:$A$27,IS!B$1:B$27," ",0,1)</f>
        <v>72745.919999999998</v>
      </c>
      <c r="C4" s="11">
        <f>_xlfn.XLOOKUP($A4,IS!$A$1:$A$27,IS!C$1:C$27," ",0,1)</f>
        <v>65298.84</v>
      </c>
      <c r="D4" s="11">
        <f>_xlfn.XLOOKUP($A4,IS!$A$1:$A$27,IS!D$1:D$27," ",0,1)</f>
        <v>46880.97</v>
      </c>
      <c r="E4" s="11">
        <f>_xlfn.XLOOKUP($A4,IS!$A$1:$A$27,IS!E$1:E$27," ",0,1)</f>
        <v>46559.39</v>
      </c>
      <c r="F4" s="11">
        <f>_xlfn.XLOOKUP($A4,IS!$A$1:$A$27,IS!F$1:F$27," ",0,1)</f>
        <v>43485.760000000002</v>
      </c>
    </row>
    <row r="5" spans="1:6" x14ac:dyDescent="0.35">
      <c r="A5" s="1" t="str">
        <f>IS!A5</f>
        <v>(b) Other operating revenue</v>
      </c>
      <c r="B5" s="11">
        <f>_xlfn.XLOOKUP($A5,IS!$A$1:$A$27,IS!B$1:B$27," ",0,1)</f>
        <v>557.16</v>
      </c>
      <c r="C5" s="11">
        <f>_xlfn.XLOOKUP($A5,IS!$A$1:$A$27,IS!C$1:C$27," ",0,1)</f>
        <v>458.49</v>
      </c>
      <c r="D5" s="11">
        <f>_xlfn.XLOOKUP($A5,IS!$A$1:$A$27,IS!D$1:D$27," ",0,1)</f>
        <v>382.71</v>
      </c>
      <c r="E5" s="11">
        <f>_xlfn.XLOOKUP($A5,IS!$A$1:$A$27,IS!E$1:E$27," ",0,1)</f>
        <v>472.08</v>
      </c>
      <c r="F5" s="11">
        <f>_xlfn.XLOOKUP($A5,IS!$A$1:$A$27,IS!F$1:F$27," ",0,1)</f>
        <v>442.41</v>
      </c>
    </row>
    <row r="6" spans="1:6" x14ac:dyDescent="0.35">
      <c r="A6" s="1" t="str">
        <f>IS!A6</f>
        <v>Total revenue from operations (I)</v>
      </c>
      <c r="B6" s="11">
        <f>_xlfn.XLOOKUP($A6,IS!$A$1:$A$27,IS!B$1:B$27," ",0,1)</f>
        <v>73303.08</v>
      </c>
      <c r="C6" s="11">
        <f>_xlfn.XLOOKUP($A6,IS!$A$1:$A$27,IS!C$1:C$27," ",0,1)</f>
        <v>65757.33</v>
      </c>
      <c r="D6" s="11">
        <f>_xlfn.XLOOKUP($A6,IS!$A$1:$A$27,IS!D$1:D$27," ",0,1)</f>
        <v>47263.68</v>
      </c>
      <c r="E6" s="11">
        <f>_xlfn.XLOOKUP($A6,IS!$A$1:$A$27,IS!E$1:E$27," ",0,1)</f>
        <v>47031.47</v>
      </c>
      <c r="F6" s="11">
        <f>_xlfn.XLOOKUP($A6,IS!$A$1:$A$27,IS!F$1:F$27," ",0,1)</f>
        <v>43928.17</v>
      </c>
    </row>
    <row r="7" spans="1:6" x14ac:dyDescent="0.35">
      <c r="A7" s="1" t="str">
        <f>IS!A7</f>
        <v>II. Other Income</v>
      </c>
      <c r="B7" s="11">
        <f>_xlfn.XLOOKUP($A7,IS!$A$1:$A$27,IS!B$1:B$27," ",0,1)</f>
        <v>1149.8800000000001</v>
      </c>
      <c r="C7" s="11">
        <f>_xlfn.XLOOKUP($A7,IS!$A$1:$A$27,IS!C$1:C$27," ",0,1)</f>
        <v>820.94</v>
      </c>
      <c r="D7" s="11">
        <f>_xlfn.XLOOKUP($A7,IS!$A$1:$A$27,IS!D$1:D$27," ",0,1)</f>
        <v>659.91</v>
      </c>
      <c r="E7" s="11">
        <f>_xlfn.XLOOKUP($A7,IS!$A$1:$A$27,IS!E$1:E$27," ",0,1)</f>
        <v>842.96</v>
      </c>
      <c r="F7" s="11">
        <f>_xlfn.XLOOKUP($A7,IS!$A$1:$A$27,IS!F$1:F$27," ",0,1)</f>
        <v>1383.05</v>
      </c>
    </row>
    <row r="8" spans="1:6" x14ac:dyDescent="0.35">
      <c r="A8" s="1" t="str">
        <f>IS!A8</f>
        <v>III. Total Income (I+II)</v>
      </c>
      <c r="B8" s="11">
        <f>_xlfn.XLOOKUP($A8,IS!$A$1:$A$27,IS!B$1:B$27," ",0,1)</f>
        <v>74452.960000000006</v>
      </c>
      <c r="C8" s="11">
        <f>_xlfn.XLOOKUP($A8,IS!$A$1:$A$27,IS!C$1:C$27," ",0,1)</f>
        <v>66578.27</v>
      </c>
      <c r="D8" s="11">
        <f>_xlfn.XLOOKUP($A8,IS!$A$1:$A$27,IS!D$1:D$27," ",0,1)</f>
        <v>47923.59</v>
      </c>
      <c r="E8" s="11">
        <f>_xlfn.XLOOKUP($A8,IS!$A$1:$A$27,IS!E$1:E$27," ",0,1)</f>
        <v>47874.43</v>
      </c>
      <c r="F8" s="11">
        <f>_xlfn.XLOOKUP($A8,IS!$A$1:$A$27,IS!F$1:F$27," ",0,1)</f>
        <v>45311.22</v>
      </c>
    </row>
    <row r="9" spans="1:6" x14ac:dyDescent="0.35">
      <c r="A9" s="1" t="str">
        <f>IS!A9</f>
        <v>IV. Expenses:</v>
      </c>
      <c r="B9" s="11">
        <f>_xlfn.XLOOKUP($A9,IS!$A$1:$A$27,IS!B$1:B$27," ",0,1)</f>
        <v>0</v>
      </c>
      <c r="C9" s="11">
        <f>_xlfn.XLOOKUP($A9,IS!$A$1:$A$27,IS!C$1:C$27," ",0,1)</f>
        <v>0</v>
      </c>
      <c r="D9" s="11">
        <f>_xlfn.XLOOKUP($A9,IS!$A$1:$A$27,IS!D$1:D$27," ",0,1)</f>
        <v>0</v>
      </c>
      <c r="E9" s="11">
        <f>_xlfn.XLOOKUP($A9,IS!$A$1:$A$27,IS!E$1:E$27," ",0,1)</f>
        <v>0</v>
      </c>
      <c r="F9" s="11">
        <f>_xlfn.XLOOKUP($A9,IS!$A$1:$A$27,IS!F$1:F$27," ",0,1)</f>
        <v>0</v>
      </c>
    </row>
    <row r="10" spans="1:6" x14ac:dyDescent="0.35">
      <c r="A10" s="1" t="str">
        <f>IS!A10</f>
        <v>(a) Cost of materials consumed</v>
      </c>
      <c r="B10" s="11">
        <f>_xlfn.XLOOKUP($A10,IS!$A$1:$A$27,IS!B$1:B$27," ",0,1)</f>
        <v>46757.279999999999</v>
      </c>
      <c r="C10" s="11">
        <f>_xlfn.XLOOKUP($A10,IS!$A$1:$A$27,IS!C$1:C$27," ",0,1)</f>
        <v>42226.81</v>
      </c>
      <c r="D10" s="11">
        <f>_xlfn.XLOOKUP($A10,IS!$A$1:$A$27,IS!D$1:D$27," ",0,1)</f>
        <v>31693.11</v>
      </c>
      <c r="E10" s="11">
        <f>_xlfn.XLOOKUP($A10,IS!$A$1:$A$27,IS!E$1:E$27," ",0,1)</f>
        <v>28493.119999999999</v>
      </c>
      <c r="F10" s="11">
        <f>_xlfn.XLOOKUP($A10,IS!$A$1:$A$27,IS!F$1:F$27," ",0,1)</f>
        <v>26171.85</v>
      </c>
    </row>
    <row r="11" spans="1:6" x14ac:dyDescent="0.35">
      <c r="A11" s="1" t="str">
        <f>IS!A11</f>
        <v>(b) Purchases of products for sale</v>
      </c>
      <c r="B11" s="11">
        <f>_xlfn.XLOOKUP($A11,IS!$A$1:$A$27,IS!B$1:B$27," ",0,1)</f>
        <v>6707.03</v>
      </c>
      <c r="C11" s="11">
        <f>_xlfn.XLOOKUP($A11,IS!$A$1:$A$27,IS!C$1:C$27," ",0,1)</f>
        <v>6561.32</v>
      </c>
      <c r="D11" s="11">
        <f>_xlfn.XLOOKUP($A11,IS!$A$1:$A$27,IS!D$1:D$27," ",0,1)</f>
        <v>5030</v>
      </c>
      <c r="E11" s="11">
        <f>_xlfn.XLOOKUP($A11,IS!$A$1:$A$27,IS!E$1:E$27," ",0,1)</f>
        <v>7518.05</v>
      </c>
      <c r="F11" s="11">
        <f>_xlfn.XLOOKUP($A11,IS!$A$1:$A$27,IS!F$1:F$27," ",0,1)</f>
        <v>5679.98</v>
      </c>
    </row>
    <row r="12" spans="1:6" x14ac:dyDescent="0.35">
      <c r="A12" s="1" t="str">
        <f>IS!A12</f>
        <v>(c) Changes in Stock</v>
      </c>
      <c r="B12" s="11">
        <f>_xlfn.XLOOKUP($A12,IS!$A$1:$A$27,IS!B$1:B$27," ",0,1)</f>
        <v>1736.35</v>
      </c>
      <c r="C12" s="11">
        <f>_xlfn.XLOOKUP($A12,IS!$A$1:$A$27,IS!C$1:C$27," ",0,1)</f>
        <v>484.69</v>
      </c>
      <c r="D12" s="11">
        <f>_xlfn.XLOOKUP($A12,IS!$A$1:$A$27,IS!D$1:D$27," ",0,1)</f>
        <v>-403.87</v>
      </c>
      <c r="E12" s="11">
        <f>_xlfn.XLOOKUP($A12,IS!$A$1:$A$27,IS!E$1:E$27," ",0,1)</f>
        <v>-108.48</v>
      </c>
      <c r="F12" s="11">
        <f>_xlfn.XLOOKUP($A12,IS!$A$1:$A$27,IS!F$1:F$27," ",0,1)</f>
        <v>722.68</v>
      </c>
    </row>
    <row r="13" spans="1:6" x14ac:dyDescent="0.35">
      <c r="A13" s="1" t="str">
        <f>IS!A13</f>
        <v>(d) Employee benefits expense</v>
      </c>
      <c r="B13" s="11">
        <f>_xlfn.XLOOKUP($A13,IS!$A$1:$A$27,IS!B$1:B$27," ",0,1)</f>
        <v>4308.1499999999996</v>
      </c>
      <c r="C13" s="11">
        <f>_xlfn.XLOOKUP($A13,IS!$A$1:$A$27,IS!C$1:C$27," ",0,1)</f>
        <v>4021.63</v>
      </c>
      <c r="D13" s="11">
        <f>_xlfn.XLOOKUP($A13,IS!$A$1:$A$27,IS!D$1:D$27," ",0,1)</f>
        <v>3601.51</v>
      </c>
      <c r="E13" s="11">
        <f>_xlfn.XLOOKUP($A13,IS!$A$1:$A$27,IS!E$1:E$27," ",0,1)</f>
        <v>3987.72</v>
      </c>
      <c r="F13" s="11">
        <f>_xlfn.XLOOKUP($A13,IS!$A$1:$A$27,IS!F$1:F$27," ",0,1)</f>
        <v>4384.3100000000004</v>
      </c>
    </row>
    <row r="14" spans="1:6" x14ac:dyDescent="0.35">
      <c r="A14" s="1" t="str">
        <f>IS!A14</f>
        <v>(e) Finance costs</v>
      </c>
      <c r="B14" s="11">
        <f>_xlfn.XLOOKUP($A14,IS!$A$1:$A$27,IS!B$1:B$27," ",0,1)</f>
        <v>1705.74</v>
      </c>
      <c r="C14" s="11">
        <f>_xlfn.XLOOKUP($A14,IS!$A$1:$A$27,IS!C$1:C$27," ",0,1)</f>
        <v>2047.51</v>
      </c>
      <c r="D14" s="11">
        <f>_xlfn.XLOOKUP($A14,IS!$A$1:$A$27,IS!D$1:D$27," ",0,1)</f>
        <v>2121.73</v>
      </c>
      <c r="E14" s="11">
        <f>_xlfn.XLOOKUP($A14,IS!$A$1:$A$27,IS!E$1:E$27," ",0,1)</f>
        <v>2288.61</v>
      </c>
      <c r="F14" s="11">
        <f>_xlfn.XLOOKUP($A14,IS!$A$1:$A$27,IS!F$1:F$27," ",0,1)</f>
        <v>1973</v>
      </c>
    </row>
    <row r="15" spans="1:6" x14ac:dyDescent="0.35">
      <c r="A15" s="1" t="str">
        <f>IS!A15</f>
        <v>(f) Foreign exchange loss (net)</v>
      </c>
      <c r="B15" s="11">
        <f>_xlfn.XLOOKUP($A15,IS!$A$1:$A$27,IS!B$1:B$27," ",0,1)</f>
        <v>200.72</v>
      </c>
      <c r="C15" s="11">
        <f>_xlfn.XLOOKUP($A15,IS!$A$1:$A$27,IS!C$1:C$27," ",0,1)</f>
        <v>279.76</v>
      </c>
      <c r="D15" s="11">
        <f>_xlfn.XLOOKUP($A15,IS!$A$1:$A$27,IS!D$1:D$27," ",0,1)</f>
        <v>136.81</v>
      </c>
      <c r="E15" s="11">
        <f>_xlfn.XLOOKUP($A15,IS!$A$1:$A$27,IS!E$1:E$27," ",0,1)</f>
        <v>29.02</v>
      </c>
      <c r="F15" s="11">
        <f>_xlfn.XLOOKUP($A15,IS!$A$1:$A$27,IS!F$1:F$27," ",0,1)</f>
        <v>239</v>
      </c>
    </row>
    <row r="16" spans="1:6" x14ac:dyDescent="0.35">
      <c r="A16" s="1" t="str">
        <f>IS!A16</f>
        <v>(g) Depreciation and amortisation expense</v>
      </c>
      <c r="B16" s="11">
        <f>_xlfn.XLOOKUP($A16,IS!$A$1:$A$27,IS!B$1:B$27," ",0,1)</f>
        <v>2016.84</v>
      </c>
      <c r="C16" s="11">
        <f>_xlfn.XLOOKUP($A16,IS!$A$1:$A$27,IS!C$1:C$27," ",0,1)</f>
        <v>1766.86</v>
      </c>
      <c r="D16" s="11">
        <f>_xlfn.XLOOKUP($A16,IS!$A$1:$A$27,IS!D$1:D$27," ",0,1)</f>
        <v>1760.57</v>
      </c>
      <c r="E16" s="11">
        <f>_xlfn.XLOOKUP($A16,IS!$A$1:$A$27,IS!E$1:E$27," ",0,1)</f>
        <v>3325.8</v>
      </c>
      <c r="F16" s="11">
        <f>_xlfn.XLOOKUP($A16,IS!$A$1:$A$27,IS!F$1:F$27," ",0,1)</f>
        <v>3375.29</v>
      </c>
    </row>
    <row r="17" spans="1:6" x14ac:dyDescent="0.35">
      <c r="A17" s="1" t="str">
        <f>IS!A17</f>
        <v>(h) Product development/Engineering expenses</v>
      </c>
      <c r="B17" s="11">
        <f>_xlfn.XLOOKUP($A17,IS!$A$1:$A$27,IS!B$1:B$27," ",0,1)</f>
        <v>1104.79</v>
      </c>
      <c r="C17" s="11">
        <f>_xlfn.XLOOKUP($A17,IS!$A$1:$A$27,IS!C$1:C$27," ",0,1)</f>
        <v>899.06</v>
      </c>
      <c r="D17" s="11">
        <f>_xlfn.XLOOKUP($A17,IS!$A$1:$A$27,IS!D$1:D$27," ",0,1)</f>
        <v>593.9</v>
      </c>
      <c r="E17" s="11">
        <f>_xlfn.XLOOKUP($A17,IS!$A$1:$A$27,IS!E$1:E$27," ",0,1)</f>
        <v>907.44</v>
      </c>
      <c r="F17" s="11">
        <f>_xlfn.XLOOKUP($A17,IS!$A$1:$A$27,IS!F$1:F$27," ",0,1)</f>
        <v>830.24</v>
      </c>
    </row>
    <row r="18" spans="1:6" x14ac:dyDescent="0.35">
      <c r="A18" s="1" t="str">
        <f>IS!A18</f>
        <v>(i) Other expenses</v>
      </c>
      <c r="B18" s="11">
        <f>_xlfn.XLOOKUP($A18,IS!$A$1:$A$27,IS!B$1:B$27," ",0,1)</f>
        <v>7610.15</v>
      </c>
      <c r="C18" s="11">
        <f>_xlfn.XLOOKUP($A18,IS!$A$1:$A$27,IS!C$1:C$27," ",0,1)</f>
        <v>7819.74</v>
      </c>
      <c r="D18" s="11">
        <f>_xlfn.XLOOKUP($A18,IS!$A$1:$A$27,IS!D$1:D$27," ",0,1)</f>
        <v>6018.71</v>
      </c>
      <c r="E18" s="11">
        <f>_xlfn.XLOOKUP($A18,IS!$A$1:$A$27,IS!E$1:E$27," ",0,1)</f>
        <v>5612.48</v>
      </c>
      <c r="F18" s="11">
        <f>_xlfn.XLOOKUP($A18,IS!$A$1:$A$27,IS!F$1:F$27," ",0,1)</f>
        <v>7720.75</v>
      </c>
    </row>
    <row r="19" spans="1:6" x14ac:dyDescent="0.35">
      <c r="A19" s="1" t="str">
        <f>IS!A19</f>
        <v>(j) Amount transferred to capital and other accounts</v>
      </c>
      <c r="B19" s="11">
        <f>_xlfn.XLOOKUP($A19,IS!$A$1:$A$27,IS!B$1:B$27," ",0,1)</f>
        <v>-1129.73</v>
      </c>
      <c r="C19" s="11">
        <f>_xlfn.XLOOKUP($A19,IS!$A$1:$A$27,IS!C$1:C$27," ",0,1)</f>
        <v>-1066.73</v>
      </c>
      <c r="D19" s="11">
        <f>_xlfn.XLOOKUP($A19,IS!$A$1:$A$27,IS!D$1:D$27," ",0,1)</f>
        <v>-905.42</v>
      </c>
      <c r="E19" s="11">
        <f>_xlfn.XLOOKUP($A19,IS!$A$1:$A$27,IS!E$1:E$27," ",0,1)</f>
        <v>-817.53</v>
      </c>
      <c r="F19" s="11">
        <f>_xlfn.XLOOKUP($A19,IS!$A$1:$A$27,IS!F$1:F$27," ",0,1)</f>
        <v>-1169.46</v>
      </c>
    </row>
    <row r="20" spans="1:6" x14ac:dyDescent="0.35">
      <c r="A20" s="1" t="str">
        <f>IS!A20</f>
        <v>Total Expenses (IV)</v>
      </c>
      <c r="B20" s="11">
        <f>_xlfn.XLOOKUP($A20,IS!$A$1:$A$27,IS!B$1:B$27," ",0,1)</f>
        <v>69317.320000000007</v>
      </c>
      <c r="C20" s="11">
        <f>_xlfn.XLOOKUP($A20,IS!$A$1:$A$27,IS!C$1:C$27," ",0,1)</f>
        <v>65040.65</v>
      </c>
      <c r="D20" s="11">
        <f>_xlfn.XLOOKUP($A20,IS!$A$1:$A$27,IS!D$1:D$27," ",0,1)</f>
        <v>49647.05</v>
      </c>
      <c r="E20" s="11">
        <f>_xlfn.XLOOKUP($A20,IS!$A$1:$A$27,IS!E$1:E$27," ",0,1)</f>
        <v>51239.38</v>
      </c>
      <c r="F20" s="11">
        <f>_xlfn.XLOOKUP($A20,IS!$A$1:$A$27,IS!F$1:F$27," ",0,1)</f>
        <v>49927.64</v>
      </c>
    </row>
    <row r="21" spans="1:6" x14ac:dyDescent="0.35">
      <c r="A21" s="1" t="str">
        <f>IS!A21</f>
        <v>V. Profit/(Loss) before exceptional items and tax (III-IV)</v>
      </c>
      <c r="B21" s="11">
        <f>_xlfn.XLOOKUP($A21,IS!$A$1:$A$27,IS!B$1:B$27," ",0,1)</f>
        <v>5135.6400000000003</v>
      </c>
      <c r="C21" s="11">
        <f>_xlfn.XLOOKUP($A21,IS!$A$1:$A$27,IS!C$1:C$27," ",0,1)</f>
        <v>1537.62</v>
      </c>
      <c r="D21" s="11">
        <f>_xlfn.XLOOKUP($A21,IS!$A$1:$A$27,IS!D$1:D$27," ",0,1)</f>
        <v>-1723.46</v>
      </c>
      <c r="E21" s="11">
        <f>_xlfn.XLOOKUP($A21,IS!$A$1:$A$27,IS!E$1:E$27," ",0,1)</f>
        <v>-3364.95</v>
      </c>
      <c r="F21" s="11">
        <f>_xlfn.XLOOKUP($A21,IS!$A$1:$A$27,IS!F$1:F$27," ",0,1)</f>
        <v>-4616.42</v>
      </c>
    </row>
    <row r="22" spans="1:6" x14ac:dyDescent="0.35">
      <c r="A22" s="1" t="str">
        <f>IS!A22</f>
        <v>VI. Exceptional items (Loss) / Gain (Net)</v>
      </c>
      <c r="B22" s="11">
        <f>_xlfn.XLOOKUP($A22,IS!$A$1:$A$27,IS!B$1:B$27," ",0,1)</f>
        <v>-2808.41</v>
      </c>
      <c r="C22" s="11">
        <f>_xlfn.XLOOKUP($A22,IS!$A$1:$A$27,IS!C$1:C$27," ",0,1)</f>
        <v>282.82</v>
      </c>
      <c r="D22" s="11">
        <f>_xlfn.XLOOKUP($A22,IS!$A$1:$A$27,IS!D$1:D$27," ",0,1)</f>
        <v>-83.41</v>
      </c>
      <c r="E22" s="11">
        <f>_xlfn.XLOOKUP($A22,IS!$A$1:$A$27,IS!E$1:E$27," ",0,1)</f>
        <v>-37.85</v>
      </c>
      <c r="F22" s="11">
        <f>_xlfn.XLOOKUP($A22,IS!$A$1:$A$27,IS!F$1:F$27," ",0,1)</f>
        <v>2510.92</v>
      </c>
    </row>
    <row r="23" spans="1:6" x14ac:dyDescent="0.35">
      <c r="A23" s="1" t="str">
        <f>IS!A23</f>
        <v>VII. Profit/(Loss) before tax</v>
      </c>
      <c r="B23" s="11">
        <f>_xlfn.XLOOKUP($A23,IS!$A$1:$A$27,IS!B$1:B$27," ",0,1)</f>
        <v>7850.82</v>
      </c>
      <c r="C23" s="11">
        <f>_xlfn.XLOOKUP($A23,IS!$A$1:$A$27,IS!C$1:C$27," ",0,1)</f>
        <v>1254.8</v>
      </c>
      <c r="D23" s="11">
        <f>_xlfn.XLOOKUP($A23,IS!$A$1:$A$27,IS!D$1:D$27," ",0,1)</f>
        <v>-1247.54</v>
      </c>
      <c r="E23" s="11">
        <f>_xlfn.XLOOKUP($A23,IS!$A$1:$A$27,IS!E$1:E$27," ",0,1)</f>
        <v>-2350.42</v>
      </c>
      <c r="F23" s="11">
        <f>_xlfn.XLOOKUP($A23,IS!$A$1:$A$27,IS!F$1:F$27," ",0,1)</f>
        <v>-7127.34</v>
      </c>
    </row>
    <row r="24" spans="1:6" x14ac:dyDescent="0.35">
      <c r="A24" s="1" t="str">
        <f>IS!A24</f>
        <v>VIII. Tax expense / (credit) (net)</v>
      </c>
      <c r="B24" s="11">
        <f>_xlfn.XLOOKUP($A24,IS!$A$1:$A$27,IS!B$1:B$27," ",0,1)</f>
        <v>-51.26</v>
      </c>
      <c r="C24" s="11">
        <f>_xlfn.XLOOKUP($A24,IS!$A$1:$A$27,IS!C$1:C$27," ",0,1)</f>
        <v>-1473.33</v>
      </c>
      <c r="D24" s="11">
        <f>_xlfn.XLOOKUP($A24,IS!$A$1:$A$27,IS!D$1:D$27," ",0,1)</f>
        <v>143.32</v>
      </c>
      <c r="E24" s="11">
        <f>_xlfn.XLOOKUP($A24,IS!$A$1:$A$27,IS!E$1:E$27," ",0,1)</f>
        <v>82.87</v>
      </c>
      <c r="F24" s="11">
        <f>_xlfn.XLOOKUP($A24,IS!$A$1:$A$27,IS!F$1:F$27," ",0,1)</f>
        <v>162.29</v>
      </c>
    </row>
    <row r="25" spans="1:6" x14ac:dyDescent="0.35">
      <c r="A25" s="1" t="str">
        <f>IS!A25</f>
        <v>IX. Profit/(Loss) for the year (PAT)</v>
      </c>
      <c r="B25" s="11">
        <f>_xlfn.XLOOKUP($A25,IS!$A$1:$A$27,IS!B$1:B$27," ",0,1)</f>
        <v>7902.08</v>
      </c>
      <c r="C25" s="11">
        <f>_xlfn.XLOOKUP($A25,IS!$A$1:$A$27,IS!C$1:C$27," ",0,1)</f>
        <v>2728.13</v>
      </c>
      <c r="D25" s="11">
        <f>_xlfn.XLOOKUP($A25,IS!$A$1:$A$27,IS!D$1:D$27," ",0,1)</f>
        <v>-1390.86</v>
      </c>
      <c r="E25" s="11">
        <f>_xlfn.XLOOKUP($A25,IS!$A$1:$A$27,IS!E$1:E$27," ",0,1)</f>
        <v>-2395.44</v>
      </c>
      <c r="F25" s="11">
        <f>_xlfn.XLOOKUP($A25,IS!$A$1:$A$27,IS!F$1:F$27," ",0,1)</f>
        <v>-7289.63</v>
      </c>
    </row>
    <row r="26" spans="1:6" x14ac:dyDescent="0.35">
      <c r="A26" s="1" t="str">
        <f>IS!A26</f>
        <v>X. Other comprehensive income/(loss) (net of tax)</v>
      </c>
      <c r="B26" s="11">
        <f>_xlfn.XLOOKUP($A26,IS!$A$1:$A$27,IS!B$1:B$27," ",0,1)</f>
        <v>436.56</v>
      </c>
      <c r="C26" s="11">
        <f>_xlfn.XLOOKUP($A26,IS!$A$1:$A$27,IS!C$1:C$27," ",0,1)</f>
        <v>-276.49</v>
      </c>
      <c r="D26" s="11">
        <f>_xlfn.XLOOKUP($A26,IS!$A$1:$A$27,IS!D$1:D$27," ",0,1)</f>
        <v>123.68</v>
      </c>
      <c r="E26" s="11">
        <f>_xlfn.XLOOKUP($A26,IS!$A$1:$A$27,IS!E$1:E$27," ",0,1)</f>
        <v>442.99</v>
      </c>
      <c r="F26" s="11">
        <f>_xlfn.XLOOKUP($A26,IS!$A$1:$A$27,IS!F$1:F$27," ",0,1)</f>
        <v>-378.72</v>
      </c>
    </row>
    <row r="27" spans="1:6" x14ac:dyDescent="0.35">
      <c r="A27" s="1" t="str">
        <f>IS!A27</f>
        <v>XI. Total comprehensive income/(loss) for the year</v>
      </c>
      <c r="B27" s="11">
        <f>_xlfn.XLOOKUP($A27,IS!$A$1:$A$27,IS!B$1:B$27," ",0,1)</f>
        <v>8338.64</v>
      </c>
      <c r="C27" s="11">
        <f>_xlfn.XLOOKUP($A27,IS!$A$1:$A$27,IS!C$1:C$27," ",0,1)</f>
        <v>2451.64</v>
      </c>
      <c r="D27" s="11">
        <f>_xlfn.XLOOKUP($A27,IS!$A$1:$A$27,IS!D$1:D$27," ",0,1)</f>
        <v>-1267.18</v>
      </c>
      <c r="E27" s="11">
        <f>_xlfn.XLOOKUP($A27,IS!$A$1:$A$27,IS!E$1:E$27," ",0,1)</f>
        <v>-1952.45</v>
      </c>
      <c r="F27" s="11">
        <f>_xlfn.XLOOKUP($A27,IS!$A$1:$A$27,IS!F$1:F$27," ",0,1)</f>
        <v>-7668.35</v>
      </c>
    </row>
    <row r="28" spans="1:6" x14ac:dyDescent="0.35">
      <c r="A28" s="1"/>
    </row>
    <row r="29" spans="1:6" x14ac:dyDescent="0.35">
      <c r="A2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8307E-8AB4-4AA3-A5E3-4537F40A429E}">
  <dimension ref="A1:F30"/>
  <sheetViews>
    <sheetView workbookViewId="0">
      <selection activeCell="B10" sqref="B10"/>
    </sheetView>
  </sheetViews>
  <sheetFormatPr defaultRowHeight="14.5" x14ac:dyDescent="0.35"/>
  <cols>
    <col min="1" max="1" width="53.6328125" customWidth="1"/>
    <col min="2" max="2" width="13" customWidth="1"/>
    <col min="3" max="3" width="15.54296875" customWidth="1"/>
    <col min="4" max="4" width="13.90625" customWidth="1"/>
    <col min="5" max="5" width="14.90625" customWidth="1"/>
    <col min="6" max="6" width="13.1796875" customWidth="1"/>
  </cols>
  <sheetData>
    <row r="1" spans="1:6" x14ac:dyDescent="0.35">
      <c r="A1" s="1" t="str">
        <f>IS!A1</f>
        <v>Income Statement of Tata Motors from FY2020 TO FY2024</v>
      </c>
    </row>
    <row r="2" spans="1:6" x14ac:dyDescent="0.35">
      <c r="A2" s="12">
        <v>1</v>
      </c>
      <c r="B2" s="13">
        <v>2</v>
      </c>
      <c r="C2" s="13">
        <v>3</v>
      </c>
      <c r="D2" s="13">
        <v>4</v>
      </c>
      <c r="E2" s="13">
        <v>5</v>
      </c>
      <c r="F2" s="13">
        <v>6</v>
      </c>
    </row>
    <row r="3" spans="1:6" x14ac:dyDescent="0.35">
      <c r="A3" s="1" t="str">
        <f>IS!A2</f>
        <v>Particulars</v>
      </c>
      <c r="B3" s="2" t="str">
        <f>IS!B2</f>
        <v>FY2024</v>
      </c>
      <c r="C3" s="2" t="str">
        <f>IS!C2</f>
        <v>FY2023</v>
      </c>
      <c r="D3" s="2" t="str">
        <f>IS!D2</f>
        <v>FY2022</v>
      </c>
      <c r="E3" s="2" t="str">
        <f>IS!E2</f>
        <v>FY2021</v>
      </c>
      <c r="F3" s="2" t="str">
        <f>IS!F2</f>
        <v>FY2020</v>
      </c>
    </row>
    <row r="4" spans="1:6" x14ac:dyDescent="0.35">
      <c r="A4" s="1" t="str">
        <f>IS!A3</f>
        <v>I. Revenue from operations</v>
      </c>
    </row>
    <row r="5" spans="1:6" x14ac:dyDescent="0.35">
      <c r="A5" s="1" t="str">
        <f>IS!A4</f>
        <v>(a) Revenue</v>
      </c>
      <c r="B5" s="11">
        <f>IFERROR(VLOOKUP($A5,IS!$A$1:$F$27,B$2,FALSE),"")</f>
        <v>72745.919999999998</v>
      </c>
      <c r="C5" s="11">
        <f>IFERROR(VLOOKUP($A5,IS!$A$1:$F$27,C$2,FALSE),"")</f>
        <v>65298.84</v>
      </c>
      <c r="D5" s="11">
        <f>IFERROR(VLOOKUP($A5,IS!$A$1:$F$27,D$2,FALSE),"")</f>
        <v>46880.97</v>
      </c>
      <c r="E5" s="11">
        <f>IFERROR(VLOOKUP($A5,IS!$A$1:$F$27,E$2,FALSE),"")</f>
        <v>46559.39</v>
      </c>
      <c r="F5" s="11">
        <f>IFERROR(VLOOKUP($A5,IS!$A$1:$F$27,F$2,FALSE),"")</f>
        <v>43485.760000000002</v>
      </c>
    </row>
    <row r="6" spans="1:6" x14ac:dyDescent="0.35">
      <c r="A6" s="1" t="str">
        <f>IS!A5</f>
        <v>(b) Other operating revenue</v>
      </c>
      <c r="B6" s="11">
        <f>IFERROR(VLOOKUP($A6,IS!$A$1:$F$27,B$2,FALSE),"")</f>
        <v>557.16</v>
      </c>
      <c r="C6" s="11">
        <f>IFERROR(VLOOKUP($A6,IS!$A$1:$F$27,C$2,FALSE),"")</f>
        <v>458.49</v>
      </c>
      <c r="D6" s="11">
        <f>IFERROR(VLOOKUP($A6,IS!$A$1:$F$27,D$2,FALSE),"")</f>
        <v>382.71</v>
      </c>
      <c r="E6" s="11">
        <f>IFERROR(VLOOKUP($A6,IS!$A$1:$F$27,E$2,FALSE),"")</f>
        <v>472.08</v>
      </c>
      <c r="F6" s="11">
        <f>IFERROR(VLOOKUP($A6,IS!$A$1:$F$27,F$2,FALSE),"")</f>
        <v>442.41</v>
      </c>
    </row>
    <row r="7" spans="1:6" x14ac:dyDescent="0.35">
      <c r="A7" s="1" t="str">
        <f>IS!A6</f>
        <v>Total revenue from operations (I)</v>
      </c>
      <c r="B7" s="11">
        <f>IFERROR(VLOOKUP($A7,IS!$A$1:$F$27,B$2,FALSE),"")</f>
        <v>73303.08</v>
      </c>
      <c r="C7" s="11">
        <f>IFERROR(VLOOKUP($A7,IS!$A$1:$F$27,C$2,FALSE),"")</f>
        <v>65757.33</v>
      </c>
      <c r="D7" s="11">
        <f>IFERROR(VLOOKUP($A7,IS!$A$1:$F$27,D$2,FALSE),"")</f>
        <v>47263.68</v>
      </c>
      <c r="E7" s="11">
        <f>IFERROR(VLOOKUP($A7,IS!$A$1:$F$27,E$2,FALSE),"")</f>
        <v>47031.47</v>
      </c>
      <c r="F7" s="11">
        <f>IFERROR(VLOOKUP($A7,IS!$A$1:$F$27,F$2,FALSE),"")</f>
        <v>43928.17</v>
      </c>
    </row>
    <row r="8" spans="1:6" x14ac:dyDescent="0.35">
      <c r="A8" s="1" t="str">
        <f>IS!A7</f>
        <v>II. Other Income</v>
      </c>
      <c r="B8" s="11">
        <f>IFERROR(VLOOKUP($A8,IS!$A$1:$F$27,B$2,FALSE),"")</f>
        <v>1149.8800000000001</v>
      </c>
      <c r="C8" s="11">
        <f>IFERROR(VLOOKUP($A8,IS!$A$1:$F$27,C$2,FALSE),"")</f>
        <v>820.94</v>
      </c>
      <c r="D8" s="11">
        <f>IFERROR(VLOOKUP($A8,IS!$A$1:$F$27,D$2,FALSE),"")</f>
        <v>659.91</v>
      </c>
      <c r="E8" s="11">
        <f>IFERROR(VLOOKUP($A8,IS!$A$1:$F$27,E$2,FALSE),"")</f>
        <v>842.96</v>
      </c>
      <c r="F8" s="11">
        <f>IFERROR(VLOOKUP($A8,IS!$A$1:$F$27,F$2,FALSE),"")</f>
        <v>1383.05</v>
      </c>
    </row>
    <row r="9" spans="1:6" x14ac:dyDescent="0.35">
      <c r="A9" s="1" t="str">
        <f>IS!A8</f>
        <v>III. Total Income (I+II)</v>
      </c>
      <c r="B9" s="11">
        <f>IFERROR(VLOOKUP($A9,IS!$A$1:$F$27,B$2,FALSE),"")</f>
        <v>74452.960000000006</v>
      </c>
      <c r="C9" s="11">
        <f>IFERROR(VLOOKUP($A9,IS!$A$1:$F$27,C$2,FALSE),"")</f>
        <v>66578.27</v>
      </c>
      <c r="D9" s="11">
        <f>IFERROR(VLOOKUP($A9,IS!$A$1:$F$27,D$2,FALSE),"")</f>
        <v>47923.59</v>
      </c>
      <c r="E9" s="11">
        <f>IFERROR(VLOOKUP($A9,IS!$A$1:$F$27,E$2,FALSE),"")</f>
        <v>47874.43</v>
      </c>
      <c r="F9" s="11">
        <f>IFERROR(VLOOKUP($A9,IS!$A$1:$F$27,F$2,FALSE),"")</f>
        <v>45311.22</v>
      </c>
    </row>
    <row r="10" spans="1:6" x14ac:dyDescent="0.35">
      <c r="A10" s="14" t="str">
        <f>IS!A9</f>
        <v>IV. Expenses:</v>
      </c>
      <c r="B10" s="11"/>
      <c r="C10" s="11"/>
      <c r="D10" s="11"/>
      <c r="E10" s="11"/>
      <c r="F10" s="11"/>
    </row>
    <row r="11" spans="1:6" x14ac:dyDescent="0.35">
      <c r="A11" s="1" t="str">
        <f>IS!A10</f>
        <v>(a) Cost of materials consumed</v>
      </c>
      <c r="B11" s="11">
        <f>IFERROR(VLOOKUP($A11,IS!$A$1:$F$27,B$2,FALSE),"")</f>
        <v>46757.279999999999</v>
      </c>
      <c r="C11" s="11">
        <f>IFERROR(VLOOKUP($A11,IS!$A$1:$F$27,C$2,FALSE),"")</f>
        <v>42226.81</v>
      </c>
      <c r="D11" s="11">
        <f>IFERROR(VLOOKUP($A11,IS!$A$1:$F$27,D$2,FALSE),"")</f>
        <v>31693.11</v>
      </c>
      <c r="E11" s="11">
        <f>IFERROR(VLOOKUP($A11,IS!$A$1:$F$27,E$2,FALSE),"")</f>
        <v>28493.119999999999</v>
      </c>
      <c r="F11" s="11">
        <f>IFERROR(VLOOKUP($A11,IS!$A$1:$F$27,F$2,FALSE),"")</f>
        <v>26171.85</v>
      </c>
    </row>
    <row r="12" spans="1:6" x14ac:dyDescent="0.35">
      <c r="A12" s="1" t="str">
        <f>IS!A11</f>
        <v>(b) Purchases of products for sale</v>
      </c>
      <c r="B12" s="11">
        <f>IFERROR(VLOOKUP($A12,IS!$A$1:$F$27,B$2,FALSE),"")</f>
        <v>6707.03</v>
      </c>
      <c r="C12" s="11">
        <f>IFERROR(VLOOKUP($A12,IS!$A$1:$F$27,C$2,FALSE),"")</f>
        <v>6561.32</v>
      </c>
      <c r="D12" s="11">
        <f>IFERROR(VLOOKUP($A12,IS!$A$1:$F$27,D$2,FALSE),"")</f>
        <v>5030</v>
      </c>
      <c r="E12" s="11">
        <f>IFERROR(VLOOKUP($A12,IS!$A$1:$F$27,E$2,FALSE),"")</f>
        <v>7518.05</v>
      </c>
      <c r="F12" s="11">
        <f>IFERROR(VLOOKUP($A12,IS!$A$1:$F$27,F$2,FALSE),"")</f>
        <v>5679.98</v>
      </c>
    </row>
    <row r="13" spans="1:6" x14ac:dyDescent="0.35">
      <c r="A13" s="1" t="str">
        <f>IS!A12</f>
        <v>(c) Changes in Stock</v>
      </c>
      <c r="B13" s="11">
        <f>IFERROR(VLOOKUP($A13,IS!$A$1:$F$27,B$2,FALSE),"")</f>
        <v>1736.35</v>
      </c>
      <c r="C13" s="11">
        <f>IFERROR(VLOOKUP($A13,IS!$A$1:$F$27,C$2,FALSE),"")</f>
        <v>484.69</v>
      </c>
      <c r="D13" s="11">
        <f>IFERROR(VLOOKUP($A13,IS!$A$1:$F$27,D$2,FALSE),"")</f>
        <v>-403.87</v>
      </c>
      <c r="E13" s="11">
        <f>IFERROR(VLOOKUP($A13,IS!$A$1:$F$27,E$2,FALSE),"")</f>
        <v>-108.48</v>
      </c>
      <c r="F13" s="11">
        <f>IFERROR(VLOOKUP($A13,IS!$A$1:$F$27,F$2,FALSE),"")</f>
        <v>722.68</v>
      </c>
    </row>
    <row r="14" spans="1:6" x14ac:dyDescent="0.35">
      <c r="A14" s="1" t="str">
        <f>IS!A13</f>
        <v>(d) Employee benefits expense</v>
      </c>
      <c r="B14" s="11">
        <f>IFERROR(VLOOKUP($A14,IS!$A$1:$F$27,B$2,FALSE),"")</f>
        <v>4308.1499999999996</v>
      </c>
      <c r="C14" s="11">
        <f>IFERROR(VLOOKUP($A14,IS!$A$1:$F$27,C$2,FALSE),"")</f>
        <v>4021.63</v>
      </c>
      <c r="D14" s="11">
        <f>IFERROR(VLOOKUP($A14,IS!$A$1:$F$27,D$2,FALSE),"")</f>
        <v>3601.51</v>
      </c>
      <c r="E14" s="11">
        <f>IFERROR(VLOOKUP($A14,IS!$A$1:$F$27,E$2,FALSE),"")</f>
        <v>3987.72</v>
      </c>
      <c r="F14" s="11">
        <f>IFERROR(VLOOKUP($A14,IS!$A$1:$F$27,F$2,FALSE),"")</f>
        <v>4384.3100000000004</v>
      </c>
    </row>
    <row r="15" spans="1:6" x14ac:dyDescent="0.35">
      <c r="A15" s="1" t="str">
        <f>IS!A14</f>
        <v>(e) Finance costs</v>
      </c>
      <c r="B15" s="11">
        <f>IFERROR(VLOOKUP($A15,IS!$A$1:$F$27,B$2,FALSE),"")</f>
        <v>1705.74</v>
      </c>
      <c r="C15" s="11">
        <f>IFERROR(VLOOKUP($A15,IS!$A$1:$F$27,C$2,FALSE),"")</f>
        <v>2047.51</v>
      </c>
      <c r="D15" s="11">
        <f>IFERROR(VLOOKUP($A15,IS!$A$1:$F$27,D$2,FALSE),"")</f>
        <v>2121.73</v>
      </c>
      <c r="E15" s="11">
        <f>IFERROR(VLOOKUP($A15,IS!$A$1:$F$27,E$2,FALSE),"")</f>
        <v>2288.61</v>
      </c>
      <c r="F15" s="11">
        <f>IFERROR(VLOOKUP($A15,IS!$A$1:$F$27,F$2,FALSE),"")</f>
        <v>1973</v>
      </c>
    </row>
    <row r="16" spans="1:6" x14ac:dyDescent="0.35">
      <c r="A16" s="1" t="str">
        <f>IS!A15</f>
        <v>(f) Foreign exchange loss (net)</v>
      </c>
      <c r="B16" s="11">
        <f>IFERROR(VLOOKUP($A16,IS!$A$1:$F$27,B$2,FALSE),"")</f>
        <v>200.72</v>
      </c>
      <c r="C16" s="11">
        <f>IFERROR(VLOOKUP($A16,IS!$A$1:$F$27,C$2,FALSE),"")</f>
        <v>279.76</v>
      </c>
      <c r="D16" s="11">
        <f>IFERROR(VLOOKUP($A16,IS!$A$1:$F$27,D$2,FALSE),"")</f>
        <v>136.81</v>
      </c>
      <c r="E16" s="11">
        <f>IFERROR(VLOOKUP($A16,IS!$A$1:$F$27,E$2,FALSE),"")</f>
        <v>29.02</v>
      </c>
      <c r="F16" s="11">
        <f>IFERROR(VLOOKUP($A16,IS!$A$1:$F$27,F$2,FALSE),"")</f>
        <v>239</v>
      </c>
    </row>
    <row r="17" spans="1:6" x14ac:dyDescent="0.35">
      <c r="A17" s="1" t="str">
        <f>IS!A16</f>
        <v>(g) Depreciation and amortisation expense</v>
      </c>
      <c r="B17" s="11">
        <f>IFERROR(VLOOKUP($A17,IS!$A$1:$F$27,B$2,FALSE),"")</f>
        <v>2016.84</v>
      </c>
      <c r="C17" s="11">
        <f>IFERROR(VLOOKUP($A17,IS!$A$1:$F$27,C$2,FALSE),"")</f>
        <v>1766.86</v>
      </c>
      <c r="D17" s="11">
        <f>IFERROR(VLOOKUP($A17,IS!$A$1:$F$27,D$2,FALSE),"")</f>
        <v>1760.57</v>
      </c>
      <c r="E17" s="11">
        <f>IFERROR(VLOOKUP($A17,IS!$A$1:$F$27,E$2,FALSE),"")</f>
        <v>3325.8</v>
      </c>
      <c r="F17" s="11">
        <f>IFERROR(VLOOKUP($A17,IS!$A$1:$F$27,F$2,FALSE),"")</f>
        <v>3375.29</v>
      </c>
    </row>
    <row r="18" spans="1:6" x14ac:dyDescent="0.35">
      <c r="A18" s="1" t="str">
        <f>IS!A17</f>
        <v>(h) Product development/Engineering expenses</v>
      </c>
      <c r="B18" s="11">
        <f>IFERROR(VLOOKUP($A18,IS!$A$1:$F$27,B$2,FALSE),"")</f>
        <v>1104.79</v>
      </c>
      <c r="C18" s="11">
        <f>IFERROR(VLOOKUP($A18,IS!$A$1:$F$27,C$2,FALSE),"")</f>
        <v>899.06</v>
      </c>
      <c r="D18" s="11">
        <f>IFERROR(VLOOKUP($A18,IS!$A$1:$F$27,D$2,FALSE),"")</f>
        <v>593.9</v>
      </c>
      <c r="E18" s="11">
        <f>IFERROR(VLOOKUP($A18,IS!$A$1:$F$27,E$2,FALSE),"")</f>
        <v>907.44</v>
      </c>
      <c r="F18" s="11">
        <f>IFERROR(VLOOKUP($A18,IS!$A$1:$F$27,F$2,FALSE),"")</f>
        <v>830.24</v>
      </c>
    </row>
    <row r="19" spans="1:6" x14ac:dyDescent="0.35">
      <c r="A19" s="1" t="str">
        <f>IS!A18</f>
        <v>(i) Other expenses</v>
      </c>
      <c r="B19" s="11">
        <f>IFERROR(VLOOKUP($A19,IS!$A$1:$F$27,B$2,FALSE),"")</f>
        <v>7610.15</v>
      </c>
      <c r="C19" s="11">
        <f>IFERROR(VLOOKUP($A19,IS!$A$1:$F$27,C$2,FALSE),"")</f>
        <v>7819.74</v>
      </c>
      <c r="D19" s="11">
        <f>IFERROR(VLOOKUP($A19,IS!$A$1:$F$27,D$2,FALSE),"")</f>
        <v>6018.71</v>
      </c>
      <c r="E19" s="11">
        <f>IFERROR(VLOOKUP($A19,IS!$A$1:$F$27,E$2,FALSE),"")</f>
        <v>5612.48</v>
      </c>
      <c r="F19" s="11">
        <f>IFERROR(VLOOKUP($A19,IS!$A$1:$F$27,F$2,FALSE),"")</f>
        <v>7720.75</v>
      </c>
    </row>
    <row r="20" spans="1:6" x14ac:dyDescent="0.35">
      <c r="A20" s="1" t="str">
        <f>IS!A19</f>
        <v>(j) Amount transferred to capital and other accounts</v>
      </c>
      <c r="B20" s="11">
        <f>IFERROR(VLOOKUP($A20,IS!$A$1:$F$27,B$2,FALSE),"")</f>
        <v>-1129.73</v>
      </c>
      <c r="C20" s="11">
        <f>IFERROR(VLOOKUP($A20,IS!$A$1:$F$27,C$2,FALSE),"")</f>
        <v>-1066.73</v>
      </c>
      <c r="D20" s="11">
        <f>IFERROR(VLOOKUP($A20,IS!$A$1:$F$27,D$2,FALSE),"")</f>
        <v>-905.42</v>
      </c>
      <c r="E20" s="11">
        <f>IFERROR(VLOOKUP($A20,IS!$A$1:$F$27,E$2,FALSE),"")</f>
        <v>-817.53</v>
      </c>
      <c r="F20" s="11">
        <f>IFERROR(VLOOKUP($A20,IS!$A$1:$F$27,F$2,FALSE),"")</f>
        <v>-1169.46</v>
      </c>
    </row>
    <row r="21" spans="1:6" x14ac:dyDescent="0.35">
      <c r="A21" s="1" t="str">
        <f>IS!A20</f>
        <v>Total Expenses (IV)</v>
      </c>
      <c r="B21" s="11">
        <f>IFERROR(VLOOKUP($A21,IS!$A$1:$F$27,B$2,FALSE),"")</f>
        <v>69317.320000000007</v>
      </c>
      <c r="C21" s="11">
        <f>IFERROR(VLOOKUP($A21,IS!$A$1:$F$27,C$2,FALSE),"")</f>
        <v>65040.65</v>
      </c>
      <c r="D21" s="11">
        <f>IFERROR(VLOOKUP($A21,IS!$A$1:$F$27,D$2,FALSE),"")</f>
        <v>49647.05</v>
      </c>
      <c r="E21" s="11">
        <f>IFERROR(VLOOKUP($A21,IS!$A$1:$F$27,E$2,FALSE),"")</f>
        <v>51239.38</v>
      </c>
      <c r="F21" s="11">
        <f>IFERROR(VLOOKUP($A21,IS!$A$1:$F$27,F$2,FALSE),"")</f>
        <v>49927.64</v>
      </c>
    </row>
    <row r="22" spans="1:6" x14ac:dyDescent="0.35">
      <c r="A22" s="1" t="str">
        <f>IS!A21</f>
        <v>V. Profit/(Loss) before exceptional items and tax (III-IV)</v>
      </c>
      <c r="B22" s="11">
        <f>IFERROR(VLOOKUP($A22,IS!$A$1:$F$27,B$2,FALSE),"")</f>
        <v>5135.6400000000003</v>
      </c>
      <c r="C22" s="11">
        <f>IFERROR(VLOOKUP($A22,IS!$A$1:$F$27,C$2,FALSE),"")</f>
        <v>1537.62</v>
      </c>
      <c r="D22" s="11">
        <f>IFERROR(VLOOKUP($A22,IS!$A$1:$F$27,D$2,FALSE),"")</f>
        <v>-1723.46</v>
      </c>
      <c r="E22" s="11">
        <f>IFERROR(VLOOKUP($A22,IS!$A$1:$F$27,E$2,FALSE),"")</f>
        <v>-3364.95</v>
      </c>
      <c r="F22" s="11">
        <f>IFERROR(VLOOKUP($A22,IS!$A$1:$F$27,F$2,FALSE),"")</f>
        <v>-4616.42</v>
      </c>
    </row>
    <row r="23" spans="1:6" x14ac:dyDescent="0.35">
      <c r="A23" s="1" t="str">
        <f>IS!A22</f>
        <v>VI. Exceptional items (Loss) / Gain (Net)</v>
      </c>
      <c r="B23" s="11">
        <f>IFERROR(VLOOKUP($A23,IS!$A$1:$F$27,B$2,FALSE),"")</f>
        <v>-2808.41</v>
      </c>
      <c r="C23" s="11">
        <f>IFERROR(VLOOKUP($A23,IS!$A$1:$F$27,C$2,FALSE),"")</f>
        <v>282.82</v>
      </c>
      <c r="D23" s="11">
        <f>IFERROR(VLOOKUP($A23,IS!$A$1:$F$27,D$2,FALSE),"")</f>
        <v>-83.41</v>
      </c>
      <c r="E23" s="11">
        <f>IFERROR(VLOOKUP($A23,IS!$A$1:$F$27,E$2,FALSE),"")</f>
        <v>-37.85</v>
      </c>
      <c r="F23" s="11">
        <f>IFERROR(VLOOKUP($A23,IS!$A$1:$F$27,F$2,FALSE),"")</f>
        <v>2510.92</v>
      </c>
    </row>
    <row r="24" spans="1:6" x14ac:dyDescent="0.35">
      <c r="A24" s="1" t="str">
        <f>IS!A23</f>
        <v>VII. Profit/(Loss) before tax</v>
      </c>
      <c r="B24" s="11">
        <f>IFERROR(VLOOKUP($A24,IS!$A$1:$F$27,B$2,FALSE),"")</f>
        <v>7850.82</v>
      </c>
      <c r="C24" s="11">
        <f>IFERROR(VLOOKUP($A24,IS!$A$1:$F$27,C$2,FALSE),"")</f>
        <v>1254.8</v>
      </c>
      <c r="D24" s="11">
        <f>IFERROR(VLOOKUP($A24,IS!$A$1:$F$27,D$2,FALSE),"")</f>
        <v>-1247.54</v>
      </c>
      <c r="E24" s="11">
        <f>IFERROR(VLOOKUP($A24,IS!$A$1:$F$27,E$2,FALSE),"")</f>
        <v>-2350.42</v>
      </c>
      <c r="F24" s="11">
        <f>IFERROR(VLOOKUP($A24,IS!$A$1:$F$27,F$2,FALSE),"")</f>
        <v>-7127.34</v>
      </c>
    </row>
    <row r="25" spans="1:6" x14ac:dyDescent="0.35">
      <c r="A25" s="1" t="str">
        <f>IS!A24</f>
        <v>VIII. Tax expense / (credit) (net)</v>
      </c>
      <c r="B25" s="11">
        <f>IFERROR(VLOOKUP($A25,IS!$A$1:$F$27,B$2,FALSE),"")</f>
        <v>-51.26</v>
      </c>
      <c r="C25" s="11">
        <f>IFERROR(VLOOKUP($A25,IS!$A$1:$F$27,C$2,FALSE),"")</f>
        <v>-1473.33</v>
      </c>
      <c r="D25" s="11">
        <f>IFERROR(VLOOKUP($A25,IS!$A$1:$F$27,D$2,FALSE),"")</f>
        <v>143.32</v>
      </c>
      <c r="E25" s="11">
        <f>IFERROR(VLOOKUP($A25,IS!$A$1:$F$27,E$2,FALSE),"")</f>
        <v>82.87</v>
      </c>
      <c r="F25" s="11">
        <f>IFERROR(VLOOKUP($A25,IS!$A$1:$F$27,F$2,FALSE),"")</f>
        <v>162.29</v>
      </c>
    </row>
    <row r="26" spans="1:6" x14ac:dyDescent="0.35">
      <c r="A26" s="1" t="str">
        <f>IS!A25</f>
        <v>IX. Profit/(Loss) for the year (PAT)</v>
      </c>
      <c r="B26" s="11">
        <f>IFERROR(VLOOKUP($A26,IS!$A$1:$F$27,B$2,FALSE),"")</f>
        <v>7902.08</v>
      </c>
      <c r="C26" s="11">
        <f>IFERROR(VLOOKUP($A26,IS!$A$1:$F$27,C$2,FALSE),"")</f>
        <v>2728.13</v>
      </c>
      <c r="D26" s="11">
        <f>IFERROR(VLOOKUP($A26,IS!$A$1:$F$27,D$2,FALSE),"")</f>
        <v>-1390.86</v>
      </c>
      <c r="E26" s="11">
        <f>IFERROR(VLOOKUP($A26,IS!$A$1:$F$27,E$2,FALSE),"")</f>
        <v>-2395.44</v>
      </c>
      <c r="F26" s="11">
        <f>IFERROR(VLOOKUP($A26,IS!$A$1:$F$27,F$2,FALSE),"")</f>
        <v>-7289.63</v>
      </c>
    </row>
    <row r="27" spans="1:6" x14ac:dyDescent="0.35">
      <c r="A27" s="1" t="str">
        <f>IS!A26</f>
        <v>X. Other comprehensive income/(loss) (net of tax)</v>
      </c>
      <c r="B27" s="11">
        <f>IFERROR(VLOOKUP($A27,IS!$A$1:$F$27,B$2,FALSE),"")</f>
        <v>436.56</v>
      </c>
      <c r="C27" s="11">
        <f>IFERROR(VLOOKUP($A27,IS!$A$1:$F$27,C$2,FALSE),"")</f>
        <v>-276.49</v>
      </c>
      <c r="D27" s="11">
        <f>IFERROR(VLOOKUP($A27,IS!$A$1:$F$27,D$2,FALSE),"")</f>
        <v>123.68</v>
      </c>
      <c r="E27" s="11">
        <f>IFERROR(VLOOKUP($A27,IS!$A$1:$F$27,E$2,FALSE),"")</f>
        <v>442.99</v>
      </c>
      <c r="F27" s="11">
        <f>IFERROR(VLOOKUP($A27,IS!$A$1:$F$27,F$2,FALSE),"")</f>
        <v>-378.72</v>
      </c>
    </row>
    <row r="28" spans="1:6" x14ac:dyDescent="0.35">
      <c r="A28" s="1" t="str">
        <f>IS!A27</f>
        <v>XI. Total comprehensive income/(loss) for the year</v>
      </c>
      <c r="B28" s="11">
        <f>IFERROR(VLOOKUP($A28,IS!$A$1:$F$27,B$2,FALSE),"")</f>
        <v>8338.64</v>
      </c>
      <c r="C28" s="11">
        <f>IFERROR(VLOOKUP($A28,IS!$A$1:$F$27,C$2,FALSE),"")</f>
        <v>2451.64</v>
      </c>
      <c r="D28" s="11">
        <f>IFERROR(VLOOKUP($A28,IS!$A$1:$F$27,D$2,FALSE),"")</f>
        <v>-1267.18</v>
      </c>
      <c r="E28" s="11">
        <f>IFERROR(VLOOKUP($A28,IS!$A$1:$F$27,E$2,FALSE),"")</f>
        <v>-1952.45</v>
      </c>
      <c r="F28" s="11">
        <f>IFERROR(VLOOKUP($A28,IS!$A$1:$F$27,F$2,FALSE),"")</f>
        <v>-7668.35</v>
      </c>
    </row>
    <row r="29" spans="1:6" x14ac:dyDescent="0.35">
      <c r="A29" s="1"/>
    </row>
    <row r="30" spans="1:6" x14ac:dyDescent="0.35">
      <c r="A3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35BBC-C5D3-4E2E-A8C3-7940E97DC36B}">
  <dimension ref="A1:F29"/>
  <sheetViews>
    <sheetView topLeftCell="B1" zoomScale="130" zoomScaleNormal="130" workbookViewId="0">
      <selection activeCell="H7" sqref="H7"/>
    </sheetView>
  </sheetViews>
  <sheetFormatPr defaultRowHeight="14.5" x14ac:dyDescent="0.35"/>
  <cols>
    <col min="1" max="1" width="53.6328125" customWidth="1"/>
    <col min="2" max="2" width="13" customWidth="1"/>
    <col min="3" max="3" width="15.54296875" customWidth="1"/>
    <col min="4" max="4" width="13.90625" customWidth="1"/>
    <col min="5" max="5" width="14.90625" customWidth="1"/>
    <col min="6" max="6" width="27.81640625" customWidth="1"/>
  </cols>
  <sheetData>
    <row r="1" spans="1:6" x14ac:dyDescent="0.35">
      <c r="A1" s="20" t="str">
        <f>IS!A1</f>
        <v>Income Statement of Tata Motors from FY2020 TO FY2024</v>
      </c>
      <c r="B1" s="24" t="s">
        <v>72</v>
      </c>
      <c r="C1" s="24"/>
      <c r="D1" s="24"/>
      <c r="E1" s="24"/>
    </row>
    <row r="2" spans="1:6" x14ac:dyDescent="0.35">
      <c r="A2" s="21" t="str">
        <f>IS!A2</f>
        <v>Particulars</v>
      </c>
      <c r="B2" s="22" t="str">
        <f>IS!B2</f>
        <v>FY2024</v>
      </c>
      <c r="C2" s="22" t="str">
        <f>IS!C2</f>
        <v>FY2023</v>
      </c>
      <c r="D2" s="22" t="str">
        <f>IS!D2</f>
        <v>FY2022</v>
      </c>
      <c r="E2" s="22" t="str">
        <f>IS!E2</f>
        <v>FY2021</v>
      </c>
      <c r="F2" s="12" t="s">
        <v>73</v>
      </c>
    </row>
    <row r="3" spans="1:6" x14ac:dyDescent="0.35">
      <c r="A3" s="1" t="str">
        <f>IS!A3</f>
        <v>I. Revenue from operations</v>
      </c>
    </row>
    <row r="4" spans="1:6" ht="20" customHeight="1" x14ac:dyDescent="0.35">
      <c r="A4" s="1" t="str">
        <f>IS!A4</f>
        <v>(a) Revenue</v>
      </c>
      <c r="B4" s="23">
        <f>IFERROR((_xlfn.XLOOKUP($A4,IS!$A$1:$A$27,IS!B$1:B$27," ",0,1)/_xlfn.XLOOKUP($A4,IS!$A$1:$A$27,IS!C$1:C$27," ",0,1)) -1,"")</f>
        <v>0.11404613006907938</v>
      </c>
      <c r="C4" s="23">
        <f>IFERROR((_xlfn.XLOOKUP($A4,IS!$A$1:$A$27,IS!C$1:C$27," ",0,1)/_xlfn.XLOOKUP($A4,IS!$A$1:$A$27,IS!D$1:D$27," ",0,1)) -1,"")</f>
        <v>0.3928645247741247</v>
      </c>
      <c r="D4" s="23">
        <f>IFERROR((_xlfn.XLOOKUP($A4,IS!$A$1:$A$27,IS!D$1:D$27," ",0,1)/_xlfn.XLOOKUP($A4,IS!$A$1:$A$27,IS!E$1:E$27," ",0,1)) -1,"")</f>
        <v>6.9068774311691339E-3</v>
      </c>
      <c r="E4" s="23">
        <f>IFERROR((_xlfn.XLOOKUP($A4,IS!$A$1:$A$27,IS!E$1:E$27," ",0,1)/_xlfn.XLOOKUP($A4,IS!$A$1:$A$27,IS!F$1:F$27," ",0,1)) -1,"")</f>
        <v>7.0681298889567534E-2</v>
      </c>
    </row>
    <row r="5" spans="1:6" x14ac:dyDescent="0.35">
      <c r="A5" s="1" t="str">
        <f>IS!A5</f>
        <v>(b) Other operating revenue</v>
      </c>
      <c r="B5" s="23">
        <f>IFERROR((_xlfn.XLOOKUP($A5,IS!$A$1:$A$27,IS!B$1:B$27," ",0,1)/_xlfn.XLOOKUP($A5,IS!$A$1:$A$27,IS!C$1:C$27," ",0,1)) -1,"")</f>
        <v>0.21520643852646715</v>
      </c>
      <c r="C5" s="23">
        <f>IFERROR((_xlfn.XLOOKUP($A5,IS!$A$1:$A$27,IS!C$1:C$27," ",0,1)/_xlfn.XLOOKUP($A5,IS!$A$1:$A$27,IS!D$1:D$27," ",0,1)) -1,"")</f>
        <v>0.19800893627028304</v>
      </c>
      <c r="D5" s="23">
        <f>IFERROR((_xlfn.XLOOKUP($A5,IS!$A$1:$A$27,IS!D$1:D$27," ",0,1)/_xlfn.XLOOKUP($A5,IS!$A$1:$A$27,IS!E$1:E$27," ",0,1)) -1,"")</f>
        <v>-0.18931113370615149</v>
      </c>
      <c r="E5" s="23">
        <f>IFERROR((_xlfn.XLOOKUP($A5,IS!$A$1:$A$27,IS!E$1:E$27," ",0,1)/_xlfn.XLOOKUP($A5,IS!$A$1:$A$27,IS!F$1:F$27," ",0,1)) -1,"")</f>
        <v>6.7064487692412023E-2</v>
      </c>
    </row>
    <row r="6" spans="1:6" x14ac:dyDescent="0.35">
      <c r="A6" s="1" t="str">
        <f>IS!A6</f>
        <v>Total revenue from operations (I)</v>
      </c>
      <c r="B6" s="23">
        <f>IFERROR((_xlfn.XLOOKUP($A6,IS!$A$1:$A$27,IS!B$1:B$27," ",0,1)/_xlfn.XLOOKUP($A6,IS!$A$1:$A$27,IS!C$1:C$27," ",0,1)) -1,"")</f>
        <v>0.11475146573013228</v>
      </c>
      <c r="C6" s="23">
        <f>IFERROR((_xlfn.XLOOKUP($A6,IS!$A$1:$A$27,IS!C$1:C$27," ",0,1)/_xlfn.XLOOKUP($A6,IS!$A$1:$A$27,IS!D$1:D$27," ",0,1)) -1,"")</f>
        <v>0.39128671318018404</v>
      </c>
      <c r="D6" s="23">
        <f>IFERROR((_xlfn.XLOOKUP($A6,IS!$A$1:$A$27,IS!D$1:D$27," ",0,1)/_xlfn.XLOOKUP($A6,IS!$A$1:$A$27,IS!E$1:E$27," ",0,1)) -1,"")</f>
        <v>4.9373323861661156E-3</v>
      </c>
      <c r="E6" s="23">
        <f>IFERROR((_xlfn.XLOOKUP($A6,IS!$A$1:$A$27,IS!E$1:E$27," ",0,1)/_xlfn.XLOOKUP($A6,IS!$A$1:$A$27,IS!F$1:F$27," ",0,1)) -1,"")</f>
        <v>7.0644873210060855E-2</v>
      </c>
    </row>
    <row r="7" spans="1:6" x14ac:dyDescent="0.35">
      <c r="A7" s="1" t="str">
        <f>IS!A7</f>
        <v>II. Other Income</v>
      </c>
      <c r="B7" s="23">
        <f>IFERROR((_xlfn.XLOOKUP($A7,IS!$A$1:$A$27,IS!B$1:B$27," ",0,1)/_xlfn.XLOOKUP($A7,IS!$A$1:$A$27,IS!C$1:C$27," ",0,1)) -1,"")</f>
        <v>0.40068701732160705</v>
      </c>
      <c r="C7" s="23">
        <f>IFERROR((_xlfn.XLOOKUP($A7,IS!$A$1:$A$27,IS!C$1:C$27," ",0,1)/_xlfn.XLOOKUP($A7,IS!$A$1:$A$27,IS!D$1:D$27," ",0,1)) -1,"")</f>
        <v>0.24401812368353282</v>
      </c>
      <c r="D7" s="23">
        <f>IFERROR((_xlfn.XLOOKUP($A7,IS!$A$1:$A$27,IS!D$1:D$27," ",0,1)/_xlfn.XLOOKUP($A7,IS!$A$1:$A$27,IS!E$1:E$27," ",0,1)) -1,"")</f>
        <v>-0.21715146626174442</v>
      </c>
      <c r="E7" s="23">
        <f>IFERROR((_xlfn.XLOOKUP($A7,IS!$A$1:$A$27,IS!E$1:E$27," ",0,1)/_xlfn.XLOOKUP($A7,IS!$A$1:$A$27,IS!F$1:F$27," ",0,1)) -1,"")</f>
        <v>-0.39050648928093701</v>
      </c>
    </row>
    <row r="8" spans="1:6" x14ac:dyDescent="0.35">
      <c r="A8" s="1" t="str">
        <f>IS!A8</f>
        <v>III. Total Income (I+II)</v>
      </c>
      <c r="B8" s="23">
        <f>IFERROR((_xlfn.XLOOKUP($A8,IS!$A$1:$A$27,IS!B$1:B$27," ",0,1)/_xlfn.XLOOKUP($A8,IS!$A$1:$A$27,IS!C$1:C$27," ",0,1)) -1,"")</f>
        <v>0.11827717962632556</v>
      </c>
      <c r="C8" s="23">
        <f>IFERROR((_xlfn.XLOOKUP($A8,IS!$A$1:$A$27,IS!C$1:C$27," ",0,1)/_xlfn.XLOOKUP($A8,IS!$A$1:$A$27,IS!D$1:D$27," ",0,1)) -1,"")</f>
        <v>0.38925881804764639</v>
      </c>
      <c r="D8" s="23">
        <f>IFERROR((_xlfn.XLOOKUP($A8,IS!$A$1:$A$27,IS!D$1:D$27," ",0,1)/_xlfn.XLOOKUP($A8,IS!$A$1:$A$27,IS!E$1:E$27," ",0,1)) -1,"")</f>
        <v>1.026852956787172E-3</v>
      </c>
      <c r="E8" s="23">
        <f>IFERROR((_xlfn.XLOOKUP($A8,IS!$A$1:$A$27,IS!E$1:E$27," ",0,1)/_xlfn.XLOOKUP($A8,IS!$A$1:$A$27,IS!F$1:F$27," ",0,1)) -1,"")</f>
        <v>5.6568991079913422E-2</v>
      </c>
    </row>
    <row r="9" spans="1:6" x14ac:dyDescent="0.35">
      <c r="A9" s="1" t="str">
        <f>IS!A9</f>
        <v>IV. Expenses:</v>
      </c>
      <c r="B9" s="23" t="str">
        <f>IFERROR((_xlfn.XLOOKUP($A9,IS!$A$1:$A$27,IS!B$1:B$27," ",0,1)/_xlfn.XLOOKUP($A9,IS!$A$1:$A$27,IS!C$1:C$27," ",0,1)) -1,"")</f>
        <v/>
      </c>
      <c r="C9" s="23" t="str">
        <f>IFERROR((_xlfn.XLOOKUP($A9,IS!$A$1:$A$27,IS!C$1:C$27," ",0,1)/_xlfn.XLOOKUP($A9,IS!$A$1:$A$27,IS!D$1:D$27," ",0,1)) -1,"")</f>
        <v/>
      </c>
      <c r="D9" s="23" t="str">
        <f>IFERROR((_xlfn.XLOOKUP($A9,IS!$A$1:$A$27,IS!D$1:D$27," ",0,1)/_xlfn.XLOOKUP($A9,IS!$A$1:$A$27,IS!E$1:E$27," ",0,1)) -1,"")</f>
        <v/>
      </c>
      <c r="E9" s="23" t="str">
        <f>IFERROR((_xlfn.XLOOKUP($A9,IS!$A$1:$A$27,IS!E$1:E$27," ",0,1)/_xlfn.XLOOKUP($A9,IS!$A$1:$A$27,IS!F$1:F$27," ",0,1)) -1,"")</f>
        <v/>
      </c>
    </row>
    <row r="10" spans="1:6" x14ac:dyDescent="0.35">
      <c r="A10" s="1" t="str">
        <f>IS!A10</f>
        <v>(a) Cost of materials consumed</v>
      </c>
      <c r="B10" s="23">
        <f>IFERROR((_xlfn.XLOOKUP($A10,IS!$A$1:$A$27,IS!B$1:B$27," ",0,1)/_xlfn.XLOOKUP($A10,IS!$A$1:$A$27,IS!C$1:C$27," ",0,1)) -1,"")</f>
        <v>0.10728894747199713</v>
      </c>
      <c r="C10" s="23">
        <f>IFERROR((_xlfn.XLOOKUP($A10,IS!$A$1:$A$27,IS!C$1:C$27," ",0,1)/_xlfn.XLOOKUP($A10,IS!$A$1:$A$27,IS!D$1:D$27," ",0,1)) -1,"")</f>
        <v>0.33236561511319018</v>
      </c>
      <c r="D10" s="23">
        <f>IFERROR((_xlfn.XLOOKUP($A10,IS!$A$1:$A$27,IS!D$1:D$27," ",0,1)/_xlfn.XLOOKUP($A10,IS!$A$1:$A$27,IS!E$1:E$27," ",0,1)) -1,"")</f>
        <v>0.11230746229265165</v>
      </c>
      <c r="E10" s="23">
        <f>IFERROR((_xlfn.XLOOKUP($A10,IS!$A$1:$A$27,IS!E$1:E$27," ",0,1)/_xlfn.XLOOKUP($A10,IS!$A$1:$A$27,IS!F$1:F$27," ",0,1)) -1,"")</f>
        <v>8.8693386214578007E-2</v>
      </c>
    </row>
    <row r="11" spans="1:6" x14ac:dyDescent="0.35">
      <c r="A11" s="1" t="str">
        <f>IS!A11</f>
        <v>(b) Purchases of products for sale</v>
      </c>
      <c r="B11" s="23">
        <f>IFERROR((_xlfn.XLOOKUP($A11,IS!$A$1:$A$27,IS!B$1:B$27," ",0,1)/_xlfn.XLOOKUP($A11,IS!$A$1:$A$27,IS!C$1:C$27," ",0,1)) -1,"")</f>
        <v>2.2207421677345351E-2</v>
      </c>
      <c r="C11" s="23">
        <f>IFERROR((_xlfn.XLOOKUP($A11,IS!$A$1:$A$27,IS!C$1:C$27," ",0,1)/_xlfn.XLOOKUP($A11,IS!$A$1:$A$27,IS!D$1:D$27," ",0,1)) -1,"")</f>
        <v>0.30443737574552676</v>
      </c>
      <c r="D11" s="23">
        <f>IFERROR((_xlfn.XLOOKUP($A11,IS!$A$1:$A$27,IS!D$1:D$27," ",0,1)/_xlfn.XLOOKUP($A11,IS!$A$1:$A$27,IS!E$1:E$27," ",0,1)) -1,"")</f>
        <v>-0.33094352923963</v>
      </c>
      <c r="E11" s="23">
        <f>IFERROR((_xlfn.XLOOKUP($A11,IS!$A$1:$A$27,IS!E$1:E$27," ",0,1)/_xlfn.XLOOKUP($A11,IS!$A$1:$A$27,IS!F$1:F$27," ",0,1)) -1,"")</f>
        <v>0.32360501269370689</v>
      </c>
    </row>
    <row r="12" spans="1:6" x14ac:dyDescent="0.35">
      <c r="A12" s="1" t="str">
        <f>IS!A12</f>
        <v>(c) Changes in Stock</v>
      </c>
      <c r="B12" s="23">
        <f>IFERROR((_xlfn.XLOOKUP($A12,IS!$A$1:$A$27,IS!B$1:B$27," ",0,1)/_xlfn.XLOOKUP($A12,IS!$A$1:$A$27,IS!C$1:C$27," ",0,1)) -1,"")</f>
        <v>2.5823928696692731</v>
      </c>
      <c r="C12" s="23">
        <f>IFERROR((_xlfn.XLOOKUP($A12,IS!$A$1:$A$27,IS!C$1:C$27," ",0,1)/_xlfn.XLOOKUP($A12,IS!$A$1:$A$27,IS!D$1:D$27," ",0,1)) -1,"")</f>
        <v>-2.2001138980364967</v>
      </c>
      <c r="D12" s="23">
        <f>IFERROR((_xlfn.XLOOKUP($A12,IS!$A$1:$A$27,IS!D$1:D$27," ",0,1)/_xlfn.XLOOKUP($A12,IS!$A$1:$A$27,IS!E$1:E$27," ",0,1)) -1,"")</f>
        <v>2.722990412979351</v>
      </c>
      <c r="E12" s="23">
        <f>IFERROR((_xlfn.XLOOKUP($A12,IS!$A$1:$A$27,IS!E$1:E$27," ",0,1)/_xlfn.XLOOKUP($A12,IS!$A$1:$A$27,IS!F$1:F$27," ",0,1)) -1,"")</f>
        <v>-1.1501079315879781</v>
      </c>
    </row>
    <row r="13" spans="1:6" x14ac:dyDescent="0.35">
      <c r="A13" s="1" t="str">
        <f>IS!A13</f>
        <v>(d) Employee benefits expense</v>
      </c>
      <c r="B13" s="23">
        <f>IFERROR((_xlfn.XLOOKUP($A13,IS!$A$1:$A$27,IS!B$1:B$27," ",0,1)/_xlfn.XLOOKUP($A13,IS!$A$1:$A$27,IS!C$1:C$27," ",0,1)) -1,"")</f>
        <v>7.1244744046567998E-2</v>
      </c>
      <c r="C13" s="23">
        <f>IFERROR((_xlfn.XLOOKUP($A13,IS!$A$1:$A$27,IS!C$1:C$27," ",0,1)/_xlfn.XLOOKUP($A13,IS!$A$1:$A$27,IS!D$1:D$27," ",0,1)) -1,"")</f>
        <v>0.11665107135618102</v>
      </c>
      <c r="D13" s="23">
        <f>IFERROR((_xlfn.XLOOKUP($A13,IS!$A$1:$A$27,IS!D$1:D$27," ",0,1)/_xlfn.XLOOKUP($A13,IS!$A$1:$A$27,IS!E$1:E$27," ",0,1)) -1,"")</f>
        <v>-9.6849828974952978E-2</v>
      </c>
      <c r="E13" s="23">
        <f>IFERROR((_xlfn.XLOOKUP($A13,IS!$A$1:$A$27,IS!E$1:E$27," ",0,1)/_xlfn.XLOOKUP($A13,IS!$A$1:$A$27,IS!F$1:F$27," ",0,1)) -1,"")</f>
        <v>-9.0456651103594576E-2</v>
      </c>
    </row>
    <row r="14" spans="1:6" x14ac:dyDescent="0.35">
      <c r="A14" s="1" t="str">
        <f>IS!A14</f>
        <v>(e) Finance costs</v>
      </c>
      <c r="B14" s="23">
        <f>IFERROR((_xlfn.XLOOKUP($A14,IS!$A$1:$A$27,IS!B$1:B$27," ",0,1)/_xlfn.XLOOKUP($A14,IS!$A$1:$A$27,IS!C$1:C$27," ",0,1)) -1,"")</f>
        <v>-0.16691981968342029</v>
      </c>
      <c r="C14" s="23">
        <f>IFERROR((_xlfn.XLOOKUP($A14,IS!$A$1:$A$27,IS!C$1:C$27," ",0,1)/_xlfn.XLOOKUP($A14,IS!$A$1:$A$27,IS!D$1:D$27," ",0,1)) -1,"")</f>
        <v>-3.4980888237428953E-2</v>
      </c>
      <c r="D14" s="23">
        <f>IFERROR((_xlfn.XLOOKUP($A14,IS!$A$1:$A$27,IS!D$1:D$27," ",0,1)/_xlfn.XLOOKUP($A14,IS!$A$1:$A$27,IS!E$1:E$27," ",0,1)) -1,"")</f>
        <v>-7.2917622487011835E-2</v>
      </c>
      <c r="E14" s="23">
        <f>IFERROR((_xlfn.XLOOKUP($A14,IS!$A$1:$A$27,IS!E$1:E$27," ",0,1)/_xlfn.XLOOKUP($A14,IS!$A$1:$A$27,IS!F$1:F$27," ",0,1)) -1,"")</f>
        <v>0.15996452103395842</v>
      </c>
    </row>
    <row r="15" spans="1:6" x14ac:dyDescent="0.35">
      <c r="A15" s="1" t="str">
        <f>IS!A15</f>
        <v>(f) Foreign exchange loss (net)</v>
      </c>
      <c r="B15" s="23">
        <f>IFERROR((_xlfn.XLOOKUP($A15,IS!$A$1:$A$27,IS!B$1:B$27," ",0,1)/_xlfn.XLOOKUP($A15,IS!$A$1:$A$27,IS!C$1:C$27," ",0,1)) -1,"")</f>
        <v>-0.28252788104089221</v>
      </c>
      <c r="C15" s="23">
        <f>IFERROR((_xlfn.XLOOKUP($A15,IS!$A$1:$A$27,IS!C$1:C$27," ",0,1)/_xlfn.XLOOKUP($A15,IS!$A$1:$A$27,IS!D$1:D$27," ",0,1)) -1,"")</f>
        <v>1.0448797602514435</v>
      </c>
      <c r="D15" s="23">
        <f>IFERROR((_xlfn.XLOOKUP($A15,IS!$A$1:$A$27,IS!D$1:D$27," ",0,1)/_xlfn.XLOOKUP($A15,IS!$A$1:$A$27,IS!E$1:E$27," ",0,1)) -1,"")</f>
        <v>3.7143349414197111</v>
      </c>
      <c r="E15" s="23">
        <f>IFERROR((_xlfn.XLOOKUP($A15,IS!$A$1:$A$27,IS!E$1:E$27," ",0,1)/_xlfn.XLOOKUP($A15,IS!$A$1:$A$27,IS!F$1:F$27," ",0,1)) -1,"")</f>
        <v>-0.87857740585774058</v>
      </c>
    </row>
    <row r="16" spans="1:6" x14ac:dyDescent="0.35">
      <c r="A16" s="1" t="str">
        <f>IS!A16</f>
        <v>(g) Depreciation and amortisation expense</v>
      </c>
      <c r="B16" s="23">
        <f>IFERROR((_xlfn.XLOOKUP($A16,IS!$A$1:$A$27,IS!B$1:B$27," ",0,1)/_xlfn.XLOOKUP($A16,IS!$A$1:$A$27,IS!C$1:C$27," ",0,1)) -1,"")</f>
        <v>0.14148263020273255</v>
      </c>
      <c r="C16" s="23">
        <f>IFERROR((_xlfn.XLOOKUP($A16,IS!$A$1:$A$27,IS!C$1:C$27," ",0,1)/_xlfn.XLOOKUP($A16,IS!$A$1:$A$27,IS!D$1:D$27," ",0,1)) -1,"")</f>
        <v>3.5727065666233404E-3</v>
      </c>
      <c r="D16" s="23">
        <f>IFERROR((_xlfn.XLOOKUP($A16,IS!$A$1:$A$27,IS!D$1:D$27," ",0,1)/_xlfn.XLOOKUP($A16,IS!$A$1:$A$27,IS!E$1:E$27," ",0,1)) -1,"")</f>
        <v>-0.47063262974321973</v>
      </c>
      <c r="E16" s="23">
        <f>IFERROR((_xlfn.XLOOKUP($A16,IS!$A$1:$A$27,IS!E$1:E$27," ",0,1)/_xlfn.XLOOKUP($A16,IS!$A$1:$A$27,IS!F$1:F$27," ",0,1)) -1,"")</f>
        <v>-1.4662443819642101E-2</v>
      </c>
    </row>
    <row r="17" spans="1:5" x14ac:dyDescent="0.35">
      <c r="A17" s="1" t="str">
        <f>IS!A17</f>
        <v>(h) Product development/Engineering expenses</v>
      </c>
      <c r="B17" s="23">
        <f>IFERROR((_xlfn.XLOOKUP($A17,IS!$A$1:$A$27,IS!B$1:B$27," ",0,1)/_xlfn.XLOOKUP($A17,IS!$A$1:$A$27,IS!C$1:C$27," ",0,1)) -1,"")</f>
        <v>0.22882788690409983</v>
      </c>
      <c r="C17" s="23">
        <f>IFERROR((_xlfn.XLOOKUP($A17,IS!$A$1:$A$27,IS!C$1:C$27," ",0,1)/_xlfn.XLOOKUP($A17,IS!$A$1:$A$27,IS!D$1:D$27," ",0,1)) -1,"")</f>
        <v>0.51382387607341307</v>
      </c>
      <c r="D17" s="23">
        <f>IFERROR((_xlfn.XLOOKUP($A17,IS!$A$1:$A$27,IS!D$1:D$27," ",0,1)/_xlfn.XLOOKUP($A17,IS!$A$1:$A$27,IS!E$1:E$27," ",0,1)) -1,"")</f>
        <v>-0.34552146698404307</v>
      </c>
      <c r="E17" s="23">
        <f>IFERROR((_xlfn.XLOOKUP($A17,IS!$A$1:$A$27,IS!E$1:E$27," ",0,1)/_xlfn.XLOOKUP($A17,IS!$A$1:$A$27,IS!F$1:F$27," ",0,1)) -1,"")</f>
        <v>9.2985160917325116E-2</v>
      </c>
    </row>
    <row r="18" spans="1:5" x14ac:dyDescent="0.35">
      <c r="A18" s="1" t="str">
        <f>IS!A18</f>
        <v>(i) Other expenses</v>
      </c>
      <c r="B18" s="23">
        <f>IFERROR((_xlfn.XLOOKUP($A18,IS!$A$1:$A$27,IS!B$1:B$27," ",0,1)/_xlfn.XLOOKUP($A18,IS!$A$1:$A$27,IS!C$1:C$27," ",0,1)) -1,"")</f>
        <v>-2.680268141907538E-2</v>
      </c>
      <c r="C18" s="23">
        <f>IFERROR((_xlfn.XLOOKUP($A18,IS!$A$1:$A$27,IS!C$1:C$27," ",0,1)/_xlfn.XLOOKUP($A18,IS!$A$1:$A$27,IS!D$1:D$27," ",0,1)) -1,"")</f>
        <v>0.29923854114918313</v>
      </c>
      <c r="D18" s="23">
        <f>IFERROR((_xlfn.XLOOKUP($A18,IS!$A$1:$A$27,IS!D$1:D$27," ",0,1)/_xlfn.XLOOKUP($A18,IS!$A$1:$A$27,IS!E$1:E$27," ",0,1)) -1,"")</f>
        <v>7.2379767945720985E-2</v>
      </c>
      <c r="E18" s="23">
        <f>IFERROR((_xlfn.XLOOKUP($A18,IS!$A$1:$A$27,IS!E$1:E$27," ",0,1)/_xlfn.XLOOKUP($A18,IS!$A$1:$A$27,IS!F$1:F$27," ",0,1)) -1,"")</f>
        <v>-0.27306544053362702</v>
      </c>
    </row>
    <row r="19" spans="1:5" x14ac:dyDescent="0.35">
      <c r="A19" s="1" t="str">
        <f>IS!A19</f>
        <v>(j) Amount transferred to capital and other accounts</v>
      </c>
      <c r="B19" s="23">
        <f>IFERROR((_xlfn.XLOOKUP($A19,IS!$A$1:$A$27,IS!B$1:B$27," ",0,1)/_xlfn.XLOOKUP($A19,IS!$A$1:$A$27,IS!C$1:C$27," ",0,1)) -1,"")</f>
        <v>5.9058993372268498E-2</v>
      </c>
      <c r="C19" s="23">
        <f>IFERROR((_xlfn.XLOOKUP($A19,IS!$A$1:$A$27,IS!C$1:C$27," ",0,1)/_xlfn.XLOOKUP($A19,IS!$A$1:$A$27,IS!D$1:D$27," ",0,1)) -1,"")</f>
        <v>0.17816041174261676</v>
      </c>
      <c r="D19" s="23">
        <f>IFERROR((_xlfn.XLOOKUP($A19,IS!$A$1:$A$27,IS!D$1:D$27," ",0,1)/_xlfn.XLOOKUP($A19,IS!$A$1:$A$27,IS!E$1:E$27," ",0,1)) -1,"")</f>
        <v>0.1075067581617799</v>
      </c>
      <c r="E19" s="23">
        <f>IFERROR((_xlfn.XLOOKUP($A19,IS!$A$1:$A$27,IS!E$1:E$27," ",0,1)/_xlfn.XLOOKUP($A19,IS!$A$1:$A$27,IS!F$1:F$27," ",0,1)) -1,"")</f>
        <v>-0.30093376430147256</v>
      </c>
    </row>
    <row r="20" spans="1:5" x14ac:dyDescent="0.35">
      <c r="A20" s="1" t="str">
        <f>IS!A20</f>
        <v>Total Expenses (IV)</v>
      </c>
      <c r="B20" s="23">
        <f>IFERROR((_xlfn.XLOOKUP($A20,IS!$A$1:$A$27,IS!B$1:B$27," ",0,1)/_xlfn.XLOOKUP($A20,IS!$A$1:$A$27,IS!C$1:C$27," ",0,1)) -1,"")</f>
        <v>6.5753801660961342E-2</v>
      </c>
      <c r="C20" s="23">
        <f>IFERROR((_xlfn.XLOOKUP($A20,IS!$A$1:$A$27,IS!C$1:C$27," ",0,1)/_xlfn.XLOOKUP($A20,IS!$A$1:$A$27,IS!D$1:D$27," ",0,1)) -1,"")</f>
        <v>0.31006071861268691</v>
      </c>
      <c r="D20" s="23">
        <f>IFERROR((_xlfn.XLOOKUP($A20,IS!$A$1:$A$27,IS!D$1:D$27," ",0,1)/_xlfn.XLOOKUP($A20,IS!$A$1:$A$27,IS!E$1:E$27," ",0,1)) -1,"")</f>
        <v>-3.1076293272869315E-2</v>
      </c>
      <c r="E20" s="23">
        <f>IFERROR((_xlfn.XLOOKUP($A20,IS!$A$1:$A$27,IS!E$1:E$27," ",0,1)/_xlfn.XLOOKUP($A20,IS!$A$1:$A$27,IS!F$1:F$27," ",0,1)) -1,"")</f>
        <v>2.6272822028039045E-2</v>
      </c>
    </row>
    <row r="21" spans="1:5" x14ac:dyDescent="0.35">
      <c r="A21" s="1" t="str">
        <f>IS!A21</f>
        <v>V. Profit/(Loss) before exceptional items and tax (III-IV)</v>
      </c>
      <c r="B21" s="23">
        <f>IFERROR((_xlfn.XLOOKUP($A21,IS!$A$1:$A$27,IS!B$1:B$27," ",0,1)/_xlfn.XLOOKUP($A21,IS!$A$1:$A$27,IS!C$1:C$27," ",0,1)) -1,"")</f>
        <v>2.339992976157959</v>
      </c>
      <c r="C21" s="23">
        <f>IFERROR((_xlfn.XLOOKUP($A21,IS!$A$1:$A$27,IS!C$1:C$27," ",0,1)/_xlfn.XLOOKUP($A21,IS!$A$1:$A$27,IS!D$1:D$27," ",0,1)) -1,"")</f>
        <v>-1.892170401401831</v>
      </c>
      <c r="D21" s="23">
        <f>IFERROR((_xlfn.XLOOKUP($A21,IS!$A$1:$A$27,IS!D$1:D$27," ",0,1)/_xlfn.XLOOKUP($A21,IS!$A$1:$A$27,IS!E$1:E$27," ",0,1)) -1,"")</f>
        <v>-0.48782002704349248</v>
      </c>
      <c r="E21" s="23">
        <f>IFERROR((_xlfn.XLOOKUP($A21,IS!$A$1:$A$27,IS!E$1:E$27," ",0,1)/_xlfn.XLOOKUP($A21,IS!$A$1:$A$27,IS!F$1:F$27," ",0,1)) -1,"")</f>
        <v>-0.27109101858149831</v>
      </c>
    </row>
    <row r="22" spans="1:5" x14ac:dyDescent="0.35">
      <c r="A22" s="1" t="str">
        <f>IS!A22</f>
        <v>VI. Exceptional items (Loss) / Gain (Net)</v>
      </c>
      <c r="B22" s="23">
        <f>IFERROR((_xlfn.XLOOKUP($A22,IS!$A$1:$A$27,IS!B$1:B$27," ",0,1)/_xlfn.XLOOKUP($A22,IS!$A$1:$A$27,IS!C$1:C$27," ",0,1)) -1,"")</f>
        <v>-10.930026165051975</v>
      </c>
      <c r="C22" s="23">
        <f>IFERROR((_xlfn.XLOOKUP($A22,IS!$A$1:$A$27,IS!C$1:C$27," ",0,1)/_xlfn.XLOOKUP($A22,IS!$A$1:$A$27,IS!D$1:D$27," ",0,1)) -1,"")</f>
        <v>-4.3907205371058629</v>
      </c>
      <c r="D22" s="23">
        <f>IFERROR((_xlfn.XLOOKUP($A22,IS!$A$1:$A$27,IS!D$1:D$27," ",0,1)/_xlfn.XLOOKUP($A22,IS!$A$1:$A$27,IS!E$1:E$27," ",0,1)) -1,"")</f>
        <v>1.2036988110964333</v>
      </c>
      <c r="E22" s="23">
        <f>IFERROR((_xlfn.XLOOKUP($A22,IS!$A$1:$A$27,IS!E$1:E$27," ",0,1)/_xlfn.XLOOKUP($A22,IS!$A$1:$A$27,IS!F$1:F$27," ",0,1)) -1,"")</f>
        <v>-1.0150741560862153</v>
      </c>
    </row>
    <row r="23" spans="1:5" x14ac:dyDescent="0.35">
      <c r="A23" s="1" t="str">
        <f>IS!A23</f>
        <v>VII. Profit/(Loss) before tax</v>
      </c>
      <c r="B23" s="23">
        <f>IFERROR((_xlfn.XLOOKUP($A23,IS!$A$1:$A$27,IS!B$1:B$27," ",0,1)/_xlfn.XLOOKUP($A23,IS!$A$1:$A$27,IS!C$1:C$27," ",0,1)) -1,"")</f>
        <v>5.2566305387312715</v>
      </c>
      <c r="C23" s="23">
        <f>IFERROR((_xlfn.XLOOKUP($A23,IS!$A$1:$A$27,IS!C$1:C$27," ",0,1)/_xlfn.XLOOKUP($A23,IS!$A$1:$A$27,IS!D$1:D$27," ",0,1)) -1,"")</f>
        <v>-2.0058194526828799</v>
      </c>
      <c r="D23" s="23">
        <f>IFERROR((_xlfn.XLOOKUP($A23,IS!$A$1:$A$27,IS!D$1:D$27," ",0,1)/_xlfn.XLOOKUP($A23,IS!$A$1:$A$27,IS!E$1:E$27," ",0,1)) -1,"")</f>
        <v>-0.46922677649101019</v>
      </c>
      <c r="E23" s="23">
        <f>IFERROR((_xlfn.XLOOKUP($A23,IS!$A$1:$A$27,IS!E$1:E$27," ",0,1)/_xlfn.XLOOKUP($A23,IS!$A$1:$A$27,IS!F$1:F$27," ",0,1)) -1,"")</f>
        <v>-0.67022479634758547</v>
      </c>
    </row>
    <row r="24" spans="1:5" x14ac:dyDescent="0.35">
      <c r="A24" s="1" t="str">
        <f>IS!A24</f>
        <v>VIII. Tax expense / (credit) (net)</v>
      </c>
      <c r="B24" s="23">
        <f>IFERROR((_xlfn.XLOOKUP($A24,IS!$A$1:$A$27,IS!B$1:B$27," ",0,1)/_xlfn.XLOOKUP($A24,IS!$A$1:$A$27,IS!C$1:C$27," ",0,1)) -1,"")</f>
        <v>-0.96520806608159748</v>
      </c>
      <c r="C24" s="23">
        <f>IFERROR((_xlfn.XLOOKUP($A24,IS!$A$1:$A$27,IS!C$1:C$27," ",0,1)/_xlfn.XLOOKUP($A24,IS!$A$1:$A$27,IS!D$1:D$27," ",0,1)) -1,"")</f>
        <v>-11.280002790957298</v>
      </c>
      <c r="D24" s="23">
        <f>IFERROR((_xlfn.XLOOKUP($A24,IS!$A$1:$A$27,IS!D$1:D$27," ",0,1)/_xlfn.XLOOKUP($A24,IS!$A$1:$A$27,IS!E$1:E$27," ",0,1)) -1,"")</f>
        <v>0.72945577410401818</v>
      </c>
      <c r="E24" s="23">
        <f>IFERROR((_xlfn.XLOOKUP($A24,IS!$A$1:$A$27,IS!E$1:E$27," ",0,1)/_xlfn.XLOOKUP($A24,IS!$A$1:$A$27,IS!F$1:F$27," ",0,1)) -1,"")</f>
        <v>-0.48937087929015954</v>
      </c>
    </row>
    <row r="25" spans="1:5" x14ac:dyDescent="0.35">
      <c r="A25" s="1" t="str">
        <f>IS!A25</f>
        <v>IX. Profit/(Loss) for the year (PAT)</v>
      </c>
      <c r="B25" s="23">
        <f>IFERROR((_xlfn.XLOOKUP($A25,IS!$A$1:$A$27,IS!B$1:B$27," ",0,1)/_xlfn.XLOOKUP($A25,IS!$A$1:$A$27,IS!C$1:C$27," ",0,1)) -1,"")</f>
        <v>1.8965188609047221</v>
      </c>
      <c r="C25" s="23">
        <f>IFERROR((_xlfn.XLOOKUP($A25,IS!$A$1:$A$27,IS!C$1:C$27," ",0,1)/_xlfn.XLOOKUP($A25,IS!$A$1:$A$27,IS!D$1:D$27," ",0,1)) -1,"")</f>
        <v>-2.9614698819435459</v>
      </c>
      <c r="D25" s="23">
        <f>IFERROR((_xlfn.XLOOKUP($A25,IS!$A$1:$A$27,IS!D$1:D$27," ",0,1)/_xlfn.XLOOKUP($A25,IS!$A$1:$A$27,IS!E$1:E$27," ",0,1)) -1,"")</f>
        <v>-0.41937180643222127</v>
      </c>
      <c r="E25" s="23">
        <f>IFERROR((_xlfn.XLOOKUP($A25,IS!$A$1:$A$27,IS!E$1:E$27," ",0,1)/_xlfn.XLOOKUP($A25,IS!$A$1:$A$27,IS!F$1:F$27," ",0,1)) -1,"")</f>
        <v>-0.67139072902191188</v>
      </c>
    </row>
    <row r="26" spans="1:5" x14ac:dyDescent="0.35">
      <c r="A26" s="1" t="str">
        <f>IS!A26</f>
        <v>X. Other comprehensive income/(loss) (net of tax)</v>
      </c>
      <c r="B26" s="23">
        <f>IFERROR((_xlfn.XLOOKUP($A26,IS!$A$1:$A$27,IS!B$1:B$27," ",0,1)/_xlfn.XLOOKUP($A26,IS!$A$1:$A$27,IS!C$1:C$27," ",0,1)) -1,"")</f>
        <v>-2.5789359470505264</v>
      </c>
      <c r="C26" s="23">
        <f>IFERROR((_xlfn.XLOOKUP($A26,IS!$A$1:$A$27,IS!C$1:C$27," ",0,1)/_xlfn.XLOOKUP($A26,IS!$A$1:$A$27,IS!D$1:D$27," ",0,1)) -1,"")</f>
        <v>-3.2355271668822767</v>
      </c>
      <c r="D26" s="23">
        <f>IFERROR((_xlfn.XLOOKUP($A26,IS!$A$1:$A$27,IS!D$1:D$27," ",0,1)/_xlfn.XLOOKUP($A26,IS!$A$1:$A$27,IS!E$1:E$27," ",0,1)) -1,"")</f>
        <v>-0.72080633874353817</v>
      </c>
      <c r="E26" s="23">
        <f>IFERROR((_xlfn.XLOOKUP($A26,IS!$A$1:$A$27,IS!E$1:E$27," ",0,1)/_xlfn.XLOOKUP($A26,IS!$A$1:$A$27,IS!F$1:F$27," ",0,1)) -1,"")</f>
        <v>-2.1697032108153778</v>
      </c>
    </row>
    <row r="27" spans="1:5" x14ac:dyDescent="0.35">
      <c r="A27" s="1" t="str">
        <f>IS!A27</f>
        <v>XI. Total comprehensive income/(loss) for the year</v>
      </c>
      <c r="B27" s="23">
        <f>IFERROR((_xlfn.XLOOKUP($A27,IS!$A$1:$A$27,IS!B$1:B$27," ",0,1)/_xlfn.XLOOKUP($A27,IS!$A$1:$A$27,IS!C$1:C$27," ",0,1)) -1,"")</f>
        <v>2.4012497756603741</v>
      </c>
      <c r="C27" s="23">
        <f>IFERROR((_xlfn.XLOOKUP($A27,IS!$A$1:$A$27,IS!C$1:C$27," ",0,1)/_xlfn.XLOOKUP($A27,IS!$A$1:$A$27,IS!D$1:D$27," ",0,1)) -1,"")</f>
        <v>-2.9347211919380038</v>
      </c>
      <c r="D27" s="23">
        <f>IFERROR((_xlfn.XLOOKUP($A27,IS!$A$1:$A$27,IS!D$1:D$27," ",0,1)/_xlfn.XLOOKUP($A27,IS!$A$1:$A$27,IS!E$1:E$27," ",0,1)) -1,"")</f>
        <v>-0.35097953852851549</v>
      </c>
      <c r="E27" s="23">
        <f>IFERROR((_xlfn.XLOOKUP($A27,IS!$A$1:$A$27,IS!E$1:E$27," ",0,1)/_xlfn.XLOOKUP($A27,IS!$A$1:$A$27,IS!F$1:F$27," ",0,1)) -1,"")</f>
        <v>-0.74538851252225058</v>
      </c>
    </row>
    <row r="28" spans="1:5" x14ac:dyDescent="0.35">
      <c r="A28" s="1"/>
    </row>
    <row r="29" spans="1:5" x14ac:dyDescent="0.35">
      <c r="A29" s="1"/>
    </row>
  </sheetData>
  <mergeCells count="1">
    <mergeCell ref="B1:E1"/>
  </mergeCells>
  <conditionalFormatting sqref="B4:E27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first="1" xr2:uid="{3C431023-CC46-4602-A15D-0AFCCAEB6A5D}">
          <x14:colorSeries rgb="FF376092"/>
          <x14:colorNegative rgb="FFD00000"/>
          <x14:colorAxis rgb="FF000000"/>
          <x14:colorMarkers rgb="FFD00000"/>
          <x14:colorFirst theme="8" tint="0.79998168889431442"/>
          <x14:colorLast rgb="FFD00000"/>
          <x14:colorHigh theme="5" tint="0.39997558519241921"/>
          <x14:colorLow rgb="FFD00000"/>
          <x14:sparklines>
            <x14:sparkline>
              <xm:f>IS_COMP!B4:E4</xm:f>
              <xm:sqref>F4</xm:sqref>
            </x14:sparkline>
            <x14:sparkline>
              <xm:f>IS_COMP!B5:E5</xm:f>
              <xm:sqref>F5</xm:sqref>
            </x14:sparkline>
            <x14:sparkline>
              <xm:f>IS_COMP!B6:E6</xm:f>
              <xm:sqref>F6</xm:sqref>
            </x14:sparkline>
            <x14:sparkline>
              <xm:f>IS_COMP!B7:E7</xm:f>
              <xm:sqref>F7</xm:sqref>
            </x14:sparkline>
            <x14:sparkline>
              <xm:f>IS_COMP!B8:E8</xm:f>
              <xm:sqref>F8</xm:sqref>
            </x14:sparkline>
            <x14:sparkline>
              <xm:f>IS_COMP!B9:E9</xm:f>
              <xm:sqref>F9</xm:sqref>
            </x14:sparkline>
            <x14:sparkline>
              <xm:f>IS_COMP!B10:E10</xm:f>
              <xm:sqref>F10</xm:sqref>
            </x14:sparkline>
            <x14:sparkline>
              <xm:f>IS_COMP!B11:E11</xm:f>
              <xm:sqref>F11</xm:sqref>
            </x14:sparkline>
            <x14:sparkline>
              <xm:f>IS_COMP!B12:E12</xm:f>
              <xm:sqref>F12</xm:sqref>
            </x14:sparkline>
            <x14:sparkline>
              <xm:f>IS_COMP!B13:E13</xm:f>
              <xm:sqref>F13</xm:sqref>
            </x14:sparkline>
            <x14:sparkline>
              <xm:f>IS_COMP!B14:E14</xm:f>
              <xm:sqref>F14</xm:sqref>
            </x14:sparkline>
            <x14:sparkline>
              <xm:f>IS_COMP!B15:E15</xm:f>
              <xm:sqref>F15</xm:sqref>
            </x14:sparkline>
            <x14:sparkline>
              <xm:f>IS_COMP!B16:E16</xm:f>
              <xm:sqref>F16</xm:sqref>
            </x14:sparkline>
            <x14:sparkline>
              <xm:f>IS_COMP!B17:E17</xm:f>
              <xm:sqref>F17</xm:sqref>
            </x14:sparkline>
            <x14:sparkline>
              <xm:f>IS_COMP!B18:E18</xm:f>
              <xm:sqref>F18</xm:sqref>
            </x14:sparkline>
            <x14:sparkline>
              <xm:f>IS_COMP!B19:E19</xm:f>
              <xm:sqref>F19</xm:sqref>
            </x14:sparkline>
            <x14:sparkline>
              <xm:f>IS_COMP!B20:E20</xm:f>
              <xm:sqref>F20</xm:sqref>
            </x14:sparkline>
            <x14:sparkline>
              <xm:f>IS_COMP!B21:E21</xm:f>
              <xm:sqref>F21</xm:sqref>
            </x14:sparkline>
            <x14:sparkline>
              <xm:f>IS_COMP!B22:E22</xm:f>
              <xm:sqref>F22</xm:sqref>
            </x14:sparkline>
            <x14:sparkline>
              <xm:f>IS_COMP!B23:E23</xm:f>
              <xm:sqref>F23</xm:sqref>
            </x14:sparkline>
            <x14:sparkline>
              <xm:f>IS_COMP!B24:E24</xm:f>
              <xm:sqref>F24</xm:sqref>
            </x14:sparkline>
            <x14:sparkline>
              <xm:f>IS_COMP!B25:E25</xm:f>
              <xm:sqref>F25</xm:sqref>
            </x14:sparkline>
            <x14:sparkline>
              <xm:f>IS_COMP!B26:E26</xm:f>
              <xm:sqref>F26</xm:sqref>
            </x14:sparkline>
            <x14:sparkline>
              <xm:f>IS_COMP!B27:E27</xm:f>
              <xm:sqref>F27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4CCA-2FC0-4D5F-BF01-BCEE09A6F589}">
  <dimension ref="A1:F59"/>
  <sheetViews>
    <sheetView workbookViewId="0"/>
  </sheetViews>
  <sheetFormatPr defaultRowHeight="14.5" x14ac:dyDescent="0.35"/>
  <cols>
    <col min="1" max="1" width="68.90625" customWidth="1"/>
    <col min="2" max="2" width="13.26953125" customWidth="1"/>
    <col min="3" max="3" width="13.7265625" customWidth="1"/>
    <col min="4" max="4" width="12.1796875" customWidth="1"/>
    <col min="5" max="5" width="13.1796875" customWidth="1"/>
    <col min="6" max="6" width="11.54296875" customWidth="1"/>
  </cols>
  <sheetData>
    <row r="1" spans="1:6" x14ac:dyDescent="0.35">
      <c r="A1" s="1" t="str">
        <f>BS!A1</f>
        <v>Balance Sheet of Tata Motors from FY2020 TO FY2024</v>
      </c>
    </row>
    <row r="2" spans="1:6" x14ac:dyDescent="0.35">
      <c r="A2" s="1" t="str">
        <f>BS!A2</f>
        <v>Particulars</v>
      </c>
      <c r="B2" s="1" t="str">
        <f>BS!B2</f>
        <v>FY2024</v>
      </c>
      <c r="C2" s="1" t="str">
        <f>BS!C2</f>
        <v>FY2023</v>
      </c>
      <c r="D2" s="1" t="str">
        <f>BS!D2</f>
        <v>FY2022</v>
      </c>
      <c r="E2" s="1" t="str">
        <f>BS!E2</f>
        <v>FY2021</v>
      </c>
      <c r="F2" s="1" t="str">
        <f>BS!F2</f>
        <v>FY2020</v>
      </c>
    </row>
    <row r="3" spans="1:6" x14ac:dyDescent="0.35">
      <c r="A3" s="1" t="str">
        <f>BS!A3</f>
        <v>I. ASSETS</v>
      </c>
    </row>
    <row r="4" spans="1:6" ht="16" x14ac:dyDescent="0.35">
      <c r="A4" s="1" t="str">
        <f>BS!A4</f>
        <v>(1) NON-CURRENT ASSETS</v>
      </c>
      <c r="B4" s="15">
        <f>IFERROR(_xlfn.XLOOKUP($A4,BS!$A$1:$A$36,BS!B$1:B$36,"",0,1)/_xlfn.XLOOKUP($A4,BS!$A$1:$A$36,BS!C$1:C$36,"",0,1)-1,"")</f>
        <v>9.2947657335613387E-2</v>
      </c>
      <c r="C4" s="15">
        <f>IFERROR(_xlfn.XLOOKUP($A4,BS!$A$1:$A$36,BS!C$1:C$36,"",0,1)/_xlfn.XLOOKUP($A4,BS!$A$1:$A$36,BS!D$1:D$36,"",0,1)-1,"")</f>
        <v>6.7877264055929754E-2</v>
      </c>
      <c r="D4" s="15">
        <f>IFERROR(_xlfn.XLOOKUP($A4,BS!$A$1:$A$36,BS!D$1:D$36,"",0,1)/_xlfn.XLOOKUP($A4,BS!$A$1:$A$36,BS!E$1:E$36,"",0,1)-1,"")</f>
        <v>2.2294868683266245E-2</v>
      </c>
      <c r="E4" s="15">
        <f>IFERROR(_xlfn.XLOOKUP($A4,BS!$A$1:$A$36,BS!E$1:E$36,"",0,1)/_xlfn.XLOOKUP($A4,BS!$A$1:$A$36,BS!F$1:F$36,"",0,1)-1,"")</f>
        <v>-0.35896847004554833</v>
      </c>
      <c r="F4" s="16"/>
    </row>
    <row r="5" spans="1:6" ht="16" x14ac:dyDescent="0.35">
      <c r="A5" s="1" t="str">
        <f>BS!A5</f>
        <v>Property, plant and equipment (PPE)</v>
      </c>
      <c r="B5" s="15">
        <f>IFERROR(_xlfn.XLOOKUP($A5,BS!$A$1:$A$36,BS!B$1:B$36,"",0,1)/_xlfn.XLOOKUP($A5,BS!$A$1:$A$36,BS!C$1:C$36,"",0,1)-1,"")</f>
        <v>-9.8845326281556956E-3</v>
      </c>
      <c r="C5" s="15">
        <f>IFERROR(_xlfn.XLOOKUP($A5,BS!$A$1:$A$36,BS!C$1:C$36,"",0,1)/_xlfn.XLOOKUP($A5,BS!$A$1:$A$36,BS!D$1:D$36,"",0,1)-1,"")</f>
        <v>3.0952449492084533E-2</v>
      </c>
      <c r="D5" s="15">
        <f>IFERROR(_xlfn.XLOOKUP($A5,BS!$A$1:$A$36,BS!D$1:D$36,"",0,1)/_xlfn.XLOOKUP($A5,BS!$A$1:$A$36,BS!E$1:E$36,"",0,1)-1,"")</f>
        <v>-0.31103118233405513</v>
      </c>
      <c r="E5" s="15">
        <f>IFERROR(_xlfn.XLOOKUP($A5,BS!$A$1:$A$36,BS!E$1:E$36,"",0,1)/_xlfn.XLOOKUP($A5,BS!$A$1:$A$36,BS!F$1:F$36,"",0,1)-1,"")</f>
        <v>-9.1551068404036373E-2</v>
      </c>
    </row>
    <row r="6" spans="1:6" ht="16" x14ac:dyDescent="0.35">
      <c r="A6" s="1" t="str">
        <f>BS!A6</f>
        <v>Capital work-in-progress (CWIP)</v>
      </c>
      <c r="B6" s="15">
        <f>IFERROR(_xlfn.XLOOKUP($A6,BS!$A$1:$A$36,BS!B$1:B$36,"",0,1)/_xlfn.XLOOKUP($A6,BS!$A$1:$A$36,BS!C$1:C$36,"",0,1)-1,"")</f>
        <v>0</v>
      </c>
      <c r="C6" s="15">
        <f>IFERROR(_xlfn.XLOOKUP($A6,BS!$A$1:$A$36,BS!C$1:C$36,"",0,1)/_xlfn.XLOOKUP($A6,BS!$A$1:$A$36,BS!D$1:D$36,"",0,1)-1,"")</f>
        <v>-1.6336016130961584E-2</v>
      </c>
      <c r="D6" s="15">
        <f>IFERROR(_xlfn.XLOOKUP($A6,BS!$A$1:$A$36,BS!D$1:D$36,"",0,1)/_xlfn.XLOOKUP($A6,BS!$A$1:$A$36,BS!E$1:E$36,"",0,1)-1,"")</f>
        <v>-0.55806858428799055</v>
      </c>
      <c r="E6" s="15">
        <f>IFERROR(_xlfn.XLOOKUP($A6,BS!$A$1:$A$36,BS!E$1:E$36,"",0,1)/_xlfn.XLOOKUP($A6,BS!$A$1:$A$36,BS!F$1:F$36,"",0,1)-1,"")</f>
        <v>-0.24568359052355149</v>
      </c>
    </row>
    <row r="7" spans="1:6" ht="16" x14ac:dyDescent="0.35">
      <c r="A7" s="1" t="str">
        <f>BS!A7</f>
        <v>Right of use assets (ROU)</v>
      </c>
      <c r="B7" s="15">
        <f>IFERROR(_xlfn.XLOOKUP($A7,BS!$A$1:$A$36,BS!B$1:B$36,"",0,1)/_xlfn.XLOOKUP($A7,BS!$A$1:$A$36,BS!C$1:C$36,"",0,1)-1,"")</f>
        <v>-1.7286461359674599E-2</v>
      </c>
      <c r="C7" s="15">
        <f>IFERROR(_xlfn.XLOOKUP($A7,BS!$A$1:$A$36,BS!C$1:C$36,"",0,1)/_xlfn.XLOOKUP($A7,BS!$A$1:$A$36,BS!D$1:D$36,"",0,1)-1,"")</f>
        <v>3.534366070085726E-2</v>
      </c>
      <c r="D7" s="15">
        <f>IFERROR(_xlfn.XLOOKUP($A7,BS!$A$1:$A$36,BS!D$1:D$36,"",0,1)/_xlfn.XLOOKUP($A7,BS!$A$1:$A$36,BS!E$1:E$36,"",0,1)-1,"")</f>
        <v>-0.66058520847796798</v>
      </c>
      <c r="E7" s="15">
        <f>IFERROR(_xlfn.XLOOKUP($A7,BS!$A$1:$A$36,BS!E$1:E$36,"",0,1)/_xlfn.XLOOKUP($A7,BS!$A$1:$A$36,BS!F$1:F$36,"",0,1)-1,"")</f>
        <v>0.46282744406941667</v>
      </c>
    </row>
    <row r="8" spans="1:6" ht="16" x14ac:dyDescent="0.35">
      <c r="A8" s="1" t="str">
        <f>BS!A8</f>
        <v>Goodwill</v>
      </c>
      <c r="B8" s="15">
        <f>IFERROR(_xlfn.XLOOKUP($A8,BS!$A$1:$A$36,BS!B$1:B$36,"",0,1)/_xlfn.XLOOKUP($A8,BS!$A$1:$A$36,BS!C$1:C$36,"",0,1)-1,"")</f>
        <v>0</v>
      </c>
      <c r="C8" s="15">
        <f>IFERROR(_xlfn.XLOOKUP($A8,BS!$A$1:$A$36,BS!C$1:C$36,"",0,1)/_xlfn.XLOOKUP($A8,BS!$A$1:$A$36,BS!D$1:D$36,"",0,1)-1,"")</f>
        <v>0</v>
      </c>
      <c r="D8" s="15">
        <f>IFERROR(_xlfn.XLOOKUP($A8,BS!$A$1:$A$36,BS!D$1:D$36,"",0,1)/_xlfn.XLOOKUP($A8,BS!$A$1:$A$36,BS!E$1:E$36,"",0,1)-1,"")</f>
        <v>0</v>
      </c>
      <c r="E8" s="15">
        <f>IFERROR(_xlfn.XLOOKUP($A8,BS!$A$1:$A$36,BS!E$1:E$36,"",0,1)/_xlfn.XLOOKUP($A8,BS!$A$1:$A$36,BS!F$1:F$36,"",0,1)-1,"")</f>
        <v>0</v>
      </c>
    </row>
    <row r="9" spans="1:6" ht="16" x14ac:dyDescent="0.35">
      <c r="A9" s="1" t="str">
        <f>BS!A9</f>
        <v>Other intangible assets</v>
      </c>
      <c r="B9" s="15">
        <f>IFERROR(_xlfn.XLOOKUP($A9,BS!$A$1:$A$36,BS!B$1:B$36,"",0,1)/_xlfn.XLOOKUP($A9,BS!$A$1:$A$36,BS!C$1:C$36,"",0,1)-1,"")</f>
        <v>-7.639077482295431E-2</v>
      </c>
      <c r="C9" s="15">
        <f>IFERROR(_xlfn.XLOOKUP($A9,BS!$A$1:$A$36,BS!C$1:C$36,"",0,1)/_xlfn.XLOOKUP($A9,BS!$A$1:$A$36,BS!D$1:D$36,"",0,1)-1,"")</f>
        <v>-4.732146855269237E-2</v>
      </c>
      <c r="D9" s="15">
        <f>IFERROR(_xlfn.XLOOKUP($A9,BS!$A$1:$A$36,BS!D$1:D$36,"",0,1)/_xlfn.XLOOKUP($A9,BS!$A$1:$A$36,BS!E$1:E$36,"",0,1)-1,"")</f>
        <v>-0.67354009381862601</v>
      </c>
      <c r="E9" s="15">
        <f>IFERROR(_xlfn.XLOOKUP($A9,BS!$A$1:$A$36,BS!E$1:E$36,"",0,1)/_xlfn.XLOOKUP($A9,BS!$A$1:$A$36,BS!F$1:F$36,"",0,1)-1,"")</f>
        <v>0.10557694517871519</v>
      </c>
    </row>
    <row r="10" spans="1:6" ht="16" x14ac:dyDescent="0.35">
      <c r="A10" s="1" t="str">
        <f>BS!A10</f>
        <v>Intangible assets under development</v>
      </c>
      <c r="B10" s="15">
        <f>IFERROR(_xlfn.XLOOKUP($A10,BS!$A$1:$A$36,BS!B$1:B$36,"",0,1)/_xlfn.XLOOKUP($A10,BS!$A$1:$A$36,BS!C$1:C$36,"",0,1)-1,"")</f>
        <v>0</v>
      </c>
      <c r="C10" s="15">
        <f>IFERROR(_xlfn.XLOOKUP($A10,BS!$A$1:$A$36,BS!C$1:C$36,"",0,1)/_xlfn.XLOOKUP($A10,BS!$A$1:$A$36,BS!D$1:D$36,"",0,1)-1,"")</f>
        <v>-0.42258199834472743</v>
      </c>
      <c r="D10" s="15">
        <f>IFERROR(_xlfn.XLOOKUP($A10,BS!$A$1:$A$36,BS!D$1:D$36,"",0,1)/_xlfn.XLOOKUP($A10,BS!$A$1:$A$36,BS!E$1:E$36,"",0,1)-1,"")</f>
        <v>-0.45018482387188874</v>
      </c>
      <c r="E10" s="15">
        <f>IFERROR(_xlfn.XLOOKUP($A10,BS!$A$1:$A$36,BS!E$1:E$36,"",0,1)/_xlfn.XLOOKUP($A10,BS!$A$1:$A$36,BS!F$1:F$36,"",0,1)-1,"")</f>
        <v>-0.41436284584691652</v>
      </c>
    </row>
    <row r="11" spans="1:6" ht="16" x14ac:dyDescent="0.35">
      <c r="A11" s="1" t="str">
        <f>BS!A11</f>
        <v>Investments in subsidiaries, JVs &amp; associates</v>
      </c>
      <c r="B11" s="15">
        <f>IFERROR(_xlfn.XLOOKUP($A11,BS!$A$1:$A$36,BS!B$1:B$36,"",0,1)/_xlfn.XLOOKUP($A11,BS!$A$1:$A$36,BS!C$1:C$36,"",0,1)-1,"")</f>
        <v>-7.7116039003745973E-2</v>
      </c>
      <c r="C11" s="15">
        <f>IFERROR(_xlfn.XLOOKUP($A11,BS!$A$1:$A$36,BS!C$1:C$36,"",0,1)/_xlfn.XLOOKUP($A11,BS!$A$1:$A$36,BS!D$1:D$36,"",0,1)-1,"")</f>
        <v>0.13159467935966584</v>
      </c>
      <c r="D11" s="15">
        <f>IFERROR(_xlfn.XLOOKUP($A11,BS!$A$1:$A$36,BS!D$1:D$36,"",0,1)/_xlfn.XLOOKUP($A11,BS!$A$1:$A$36,BS!E$1:E$36,"",0,1)-1,"")</f>
        <v>0.73038116435000511</v>
      </c>
      <c r="E11" s="15">
        <f>IFERROR(_xlfn.XLOOKUP($A11,BS!$A$1:$A$36,BS!E$1:E$36,"",0,1)/_xlfn.XLOOKUP($A11,BS!$A$1:$A$36,BS!F$1:F$36,"",0,1)-1,"")</f>
        <v>-5.8916671990852598E-2</v>
      </c>
    </row>
    <row r="12" spans="1:6" ht="16" x14ac:dyDescent="0.35">
      <c r="A12" s="1" t="str">
        <f>BS!A12</f>
        <v>Financial assets (Investments, Loans, Others)</v>
      </c>
      <c r="B12" s="15">
        <f>IFERROR(_xlfn.XLOOKUP($A12,BS!$A$1:$A$36,BS!B$1:B$36,"",0,1)/_xlfn.XLOOKUP($A12,BS!$A$1:$A$36,BS!C$1:C$36,"",0,1)-1,"")</f>
        <v>-8.4647971700804514E-2</v>
      </c>
      <c r="C12" s="15">
        <f>IFERROR(_xlfn.XLOOKUP($A12,BS!$A$1:$A$36,BS!C$1:C$36,"",0,1)/_xlfn.XLOOKUP($A12,BS!$A$1:$A$36,BS!D$1:D$36,"",0,1)-1,"")</f>
        <v>-6.9920468037968253E-2</v>
      </c>
      <c r="D12" s="15">
        <f>IFERROR(_xlfn.XLOOKUP($A12,BS!$A$1:$A$36,BS!D$1:D$36,"",0,1)/_xlfn.XLOOKUP($A12,BS!$A$1:$A$36,BS!E$1:E$36,"",0,1)-1,"")</f>
        <v>-1.8915204522740847</v>
      </c>
      <c r="E12" s="15">
        <f>IFERROR(_xlfn.XLOOKUP($A12,BS!$A$1:$A$36,BS!E$1:E$36,"",0,1)/_xlfn.XLOOKUP($A12,BS!$A$1:$A$36,BS!F$1:F$36,"",0,1)-1,"")</f>
        <v>-0.23293854018770443</v>
      </c>
    </row>
    <row r="13" spans="1:6" ht="16" x14ac:dyDescent="0.35">
      <c r="A13" s="1" t="str">
        <f>BS!A13</f>
        <v>Non-current tax assets (Net)</v>
      </c>
      <c r="B13" s="15">
        <f>IFERROR(_xlfn.XLOOKUP($A13,BS!$A$1:$A$36,BS!B$1:B$36,"",0,1)/_xlfn.XLOOKUP($A13,BS!$A$1:$A$36,BS!C$1:C$36,"",0,1)-1,"")</f>
        <v>-8.2898732851607426E-2</v>
      </c>
      <c r="C13" s="15">
        <f>IFERROR(_xlfn.XLOOKUP($A13,BS!$A$1:$A$36,BS!C$1:C$36,"",0,1)/_xlfn.XLOOKUP($A13,BS!$A$1:$A$36,BS!D$1:D$36,"",0,1)-1,"")</f>
        <v>3.391151822256866E-2</v>
      </c>
      <c r="D13" s="15">
        <f>IFERROR(_xlfn.XLOOKUP($A13,BS!$A$1:$A$36,BS!D$1:D$36,"",0,1)/_xlfn.XLOOKUP($A13,BS!$A$1:$A$36,BS!E$1:E$36,"",0,1)-1,"")</f>
        <v>1.4927262422066883</v>
      </c>
      <c r="E13" s="15">
        <f>IFERROR(_xlfn.XLOOKUP($A13,BS!$A$1:$A$36,BS!E$1:E$36,"",0,1)/_xlfn.XLOOKUP($A13,BS!$A$1:$A$36,BS!F$1:F$36,"",0,1)-1,"")</f>
        <v>1.7926562907812027E-2</v>
      </c>
    </row>
    <row r="14" spans="1:6" ht="16" x14ac:dyDescent="0.35">
      <c r="A14" s="1" t="str">
        <f>BS!A14</f>
        <v>Other non-current assets</v>
      </c>
      <c r="B14" s="15">
        <f>IFERROR(_xlfn.XLOOKUP($A14,BS!$A$1:$A$36,BS!B$1:B$36,"",0,1)/_xlfn.XLOOKUP($A14,BS!$A$1:$A$36,BS!C$1:C$36,"",0,1)-1,"")</f>
        <v>-9.5482902835864469E-2</v>
      </c>
      <c r="C14" s="15">
        <f>IFERROR(_xlfn.XLOOKUP($A14,BS!$A$1:$A$36,BS!C$1:C$36,"",0,1)/_xlfn.XLOOKUP($A14,BS!$A$1:$A$36,BS!D$1:D$36,"",0,1)-1,"")</f>
        <v>-0.30106581854378589</v>
      </c>
      <c r="D14" s="15">
        <f>IFERROR(_xlfn.XLOOKUP($A14,BS!$A$1:$A$36,BS!D$1:D$36,"",0,1)/_xlfn.XLOOKUP($A14,BS!$A$1:$A$36,BS!E$1:E$36,"",0,1)-1,"")</f>
        <v>-2.948815730953755</v>
      </c>
      <c r="E14" s="15">
        <f>IFERROR(_xlfn.XLOOKUP($A14,BS!$A$1:$A$36,BS!E$1:E$36,"",0,1)/_xlfn.XLOOKUP($A14,BS!$A$1:$A$36,BS!F$1:F$36,"",0,1)-1,"")</f>
        <v>-0.12524832792530294</v>
      </c>
    </row>
    <row r="15" spans="1:6" ht="16" x14ac:dyDescent="0.35">
      <c r="A15" s="1" t="str">
        <f>BS!A15</f>
        <v>(2) CURRENT ASSETS</v>
      </c>
      <c r="B15" s="15">
        <f>IFERROR(_xlfn.XLOOKUP($A15,BS!$A$1:$A$36,BS!B$1:B$36,"",0,1)/_xlfn.XLOOKUP($A15,BS!$A$1:$A$36,BS!C$1:C$36,"",0,1)-1,"")</f>
        <v>0.34946408440665944</v>
      </c>
      <c r="C15" s="15">
        <f>IFERROR(_xlfn.XLOOKUP($A15,BS!$A$1:$A$36,BS!C$1:C$36,"",0,1)/_xlfn.XLOOKUP($A15,BS!$A$1:$A$36,BS!D$1:D$36,"",0,1)-1,"")</f>
        <v>2.8680063884432005E-3</v>
      </c>
      <c r="D15" s="15">
        <f>IFERROR(_xlfn.XLOOKUP($A15,BS!$A$1:$A$36,BS!D$1:D$36,"",0,1)/_xlfn.XLOOKUP($A15,BS!$A$1:$A$36,BS!E$1:E$36,"",0,1)-1,"")</f>
        <v>5.8568268866817652E-2</v>
      </c>
      <c r="E15" s="15">
        <f>IFERROR(_xlfn.XLOOKUP($A15,BS!$A$1:$A$36,BS!E$1:E$36,"",0,1)/_xlfn.XLOOKUP($A15,BS!$A$1:$A$36,BS!F$1:F$36,"",0,1)-1,"")</f>
        <v>2.2193283489064872</v>
      </c>
    </row>
    <row r="16" spans="1:6" ht="16" x14ac:dyDescent="0.35">
      <c r="A16" s="1" t="str">
        <f>BS!A16</f>
        <v>Inventories</v>
      </c>
      <c r="B16" s="15">
        <f>IFERROR(_xlfn.XLOOKUP($A16,BS!$A$1:$A$36,BS!B$1:B$36,"",0,1)/_xlfn.XLOOKUP($A16,BS!$A$1:$A$36,BS!C$1:C$36,"",0,1)-1,"")</f>
        <v>0.49545802343333545</v>
      </c>
      <c r="C16" s="15">
        <f>IFERROR(_xlfn.XLOOKUP($A16,BS!$A$1:$A$36,BS!C$1:C$36,"",0,1)/_xlfn.XLOOKUP($A16,BS!$A$1:$A$36,BS!D$1:D$36,"",0,1)-1,"")</f>
        <v>3.1098099041294569E-2</v>
      </c>
      <c r="D16" s="15">
        <f>IFERROR(_xlfn.XLOOKUP($A16,BS!$A$1:$A$36,BS!D$1:D$36,"",0,1)/_xlfn.XLOOKUP($A16,BS!$A$1:$A$36,BS!E$1:E$36,"",0,1)-1,"")</f>
        <v>5.1955867602808459E-2</v>
      </c>
      <c r="E16" s="15">
        <f>IFERROR(_xlfn.XLOOKUP($A16,BS!$A$1:$A$36,BS!E$1:E$36,"",0,1)/_xlfn.XLOOKUP($A16,BS!$A$1:$A$36,BS!F$1:F$36,"",0,1)-1,"")</f>
        <v>-0.23594529736780023</v>
      </c>
    </row>
    <row r="17" spans="1:5" ht="16" x14ac:dyDescent="0.35">
      <c r="A17" s="1" t="str">
        <f>BS!A17</f>
        <v>Financial assets (Investments, Trade receivables, Cash &amp; Bank, Loans, Others)</v>
      </c>
      <c r="B17" s="15">
        <f>IFERROR(_xlfn.XLOOKUP($A17,BS!$A$1:$A$36,BS!B$1:B$36,"",0,1)/_xlfn.XLOOKUP($A17,BS!$A$1:$A$36,BS!C$1:C$36,"",0,1)-1,"")</f>
        <v>0.31455766561316301</v>
      </c>
      <c r="C17" s="15">
        <f>IFERROR(_xlfn.XLOOKUP($A17,BS!$A$1:$A$36,BS!C$1:C$36,"",0,1)/_xlfn.XLOOKUP($A17,BS!$A$1:$A$36,BS!D$1:D$36,"",0,1)-1,"")</f>
        <v>-1.3923742281235718E-2</v>
      </c>
      <c r="D17" s="15">
        <f>IFERROR(_xlfn.XLOOKUP($A17,BS!$A$1:$A$36,BS!D$1:D$36,"",0,1)/_xlfn.XLOOKUP($A17,BS!$A$1:$A$36,BS!E$1:E$36,"",0,1)-1,"")</f>
        <v>7.1602672138840084E-2</v>
      </c>
      <c r="E17" s="15">
        <f>IFERROR(_xlfn.XLOOKUP($A17,BS!$A$1:$A$36,BS!E$1:E$36,"",0,1)/_xlfn.XLOOKUP($A17,BS!$A$1:$A$36,BS!F$1:F$36,"",0,1)-1,"")</f>
        <v>20.13144645827861</v>
      </c>
    </row>
    <row r="18" spans="1:5" ht="16" x14ac:dyDescent="0.35">
      <c r="A18" s="1" t="str">
        <f>BS!A18</f>
        <v>Current tax assets (Net)</v>
      </c>
      <c r="B18" s="15">
        <f>IFERROR(_xlfn.XLOOKUP($A18,BS!$A$1:$A$36,BS!B$1:B$36,"",0,1)/_xlfn.XLOOKUP($A18,BS!$A$1:$A$36,BS!C$1:C$36,"",0,1)-1,"")</f>
        <v>0.10427454563915139</v>
      </c>
      <c r="C18" s="15">
        <f>IFERROR(_xlfn.XLOOKUP($A18,BS!$A$1:$A$36,BS!C$1:C$36,"",0,1)/_xlfn.XLOOKUP($A18,BS!$A$1:$A$36,BS!D$1:D$36,"",0,1)-1,"")</f>
        <v>2.5684782608695649</v>
      </c>
      <c r="D18" s="15">
        <f>IFERROR(_xlfn.XLOOKUP($A18,BS!$A$1:$A$36,BS!D$1:D$36,"",0,1)/_xlfn.XLOOKUP($A18,BS!$A$1:$A$36,BS!E$1:E$36,"",0,1)-1,"")</f>
        <v>5.287015945330297</v>
      </c>
      <c r="E18" s="15">
        <f>IFERROR(_xlfn.XLOOKUP($A18,BS!$A$1:$A$36,BS!E$1:E$36,"",0,1)/_xlfn.XLOOKUP($A18,BS!$A$1:$A$36,BS!F$1:F$36,"",0,1)-1,"")</f>
        <v>-0.95717073170731704</v>
      </c>
    </row>
    <row r="19" spans="1:5" ht="16" x14ac:dyDescent="0.35">
      <c r="A19" s="1" t="str">
        <f>BS!A19</f>
        <v>Assets classified as held-for-sale</v>
      </c>
      <c r="B19" s="15">
        <f>IFERROR(_xlfn.XLOOKUP($A19,BS!$A$1:$A$36,BS!B$1:B$36,"",0,1)/_xlfn.XLOOKUP($A19,BS!$A$1:$A$36,BS!C$1:C$36,"",0,1)-1,"")</f>
        <v>-0.92157336490371833</v>
      </c>
      <c r="C19" s="15">
        <f>IFERROR(_xlfn.XLOOKUP($A19,BS!$A$1:$A$36,BS!C$1:C$36,"",0,1)/_xlfn.XLOOKUP($A19,BS!$A$1:$A$36,BS!D$1:D$36,"",0,1)-1,"")</f>
        <v>0.1404913131535801</v>
      </c>
      <c r="D19" s="15">
        <f>IFERROR(_xlfn.XLOOKUP($A19,BS!$A$1:$A$36,BS!D$1:D$36,"",0,1)/_xlfn.XLOOKUP($A19,BS!$A$1:$A$36,BS!E$1:E$36,"",0,1)-1,"")</f>
        <v>-0.20529721562229697</v>
      </c>
      <c r="E19" s="15">
        <f>IFERROR(_xlfn.XLOOKUP($A19,BS!$A$1:$A$36,BS!E$1:E$36,"",0,1)/_xlfn.XLOOKUP($A19,BS!$A$1:$A$36,BS!F$1:F$36,"",0,1)-1,"")</f>
        <v>3.7879947575360413</v>
      </c>
    </row>
    <row r="20" spans="1:5" ht="16" x14ac:dyDescent="0.35">
      <c r="A20" s="1" t="str">
        <f>BS!A20</f>
        <v>TOTAL ASSETS (1) + (2)</v>
      </c>
      <c r="B20" s="15">
        <f>IFERROR(_xlfn.XLOOKUP($A20,BS!$A$1:$A$36,BS!B$1:B$36,"",0,1)/_xlfn.XLOOKUP($A20,BS!$A$1:$A$36,BS!C$1:C$36,"",0,1)-1,"")</f>
        <v>0.20795558892085819</v>
      </c>
      <c r="C20" s="15">
        <f>IFERROR(_xlfn.XLOOKUP($A20,BS!$A$1:$A$36,BS!C$1:C$36,"",0,1)/_xlfn.XLOOKUP($A20,BS!$A$1:$A$36,BS!D$1:D$36,"",0,1)-1,"")</f>
        <v>3.771782109212074E-2</v>
      </c>
      <c r="D20" s="15">
        <f>IFERROR(_xlfn.XLOOKUP($A20,BS!$A$1:$A$36,BS!D$1:D$36,"",0,1)/_xlfn.XLOOKUP($A20,BS!$A$1:$A$36,BS!E$1:E$36,"",0,1)-1,"")</f>
        <v>3.8808902418864921E-2</v>
      </c>
      <c r="E20" s="15">
        <f>IFERROR(_xlfn.XLOOKUP($A20,BS!$A$1:$A$36,BS!E$1:E$36,"",0,1)/_xlfn.XLOOKUP($A20,BS!$A$1:$A$36,BS!F$1:F$36,"",0,1)-1,"")</f>
        <v>8.8841293934294185E-3</v>
      </c>
    </row>
    <row r="21" spans="1:5" ht="16" x14ac:dyDescent="0.35">
      <c r="A21" s="1"/>
      <c r="B21" s="15" t="str">
        <f>IFERROR(_xlfn.XLOOKUP($A21,BS!$A$1:$A$36,BS!B$1:B$36,"",0,1)/_xlfn.XLOOKUP($A21,BS!$A$1:$A$36,BS!C$1:C$36,"",0,1)-1,"")</f>
        <v/>
      </c>
      <c r="C21" s="15" t="str">
        <f>IFERROR(_xlfn.XLOOKUP($A21,BS!$A$1:$A$36,BS!C$1:C$36,"",0,1)/_xlfn.XLOOKUP($A21,BS!$A$1:$A$36,BS!D$1:D$36,"",0,1)-1,"")</f>
        <v/>
      </c>
      <c r="D21" s="15" t="str">
        <f>IFERROR(_xlfn.XLOOKUP($A21,BS!$A$1:$A$36,BS!D$1:D$36,"",0,1)/_xlfn.XLOOKUP($A21,BS!$A$1:$A$36,BS!E$1:E$36,"",0,1)-1,"")</f>
        <v/>
      </c>
      <c r="E21" s="15" t="str">
        <f>IFERROR(_xlfn.XLOOKUP($A21,BS!$A$1:$A$36,BS!E$1:E$36,"",0,1)/_xlfn.XLOOKUP($A21,BS!$A$1:$A$36,BS!F$1:F$36,"",0,1)-1,"")</f>
        <v/>
      </c>
    </row>
    <row r="22" spans="1:5" ht="16" x14ac:dyDescent="0.35">
      <c r="A22" s="1" t="str">
        <f>BS!A22</f>
        <v>II. EQUITY AND LIABILITIES</v>
      </c>
      <c r="B22" s="15" t="str">
        <f>IFERROR(_xlfn.XLOOKUP($A22,BS!$A$1:$A$36,BS!B$1:B$36,"",0,1)/_xlfn.XLOOKUP($A22,BS!$A$1:$A$36,BS!C$1:C$36,"",0,1)-1,"")</f>
        <v/>
      </c>
      <c r="C22" s="15" t="str">
        <f>IFERROR(_xlfn.XLOOKUP($A22,BS!$A$1:$A$36,BS!C$1:C$36,"",0,1)/_xlfn.XLOOKUP($A22,BS!$A$1:$A$36,BS!D$1:D$36,"",0,1)-1,"")</f>
        <v/>
      </c>
      <c r="D22" s="15" t="str">
        <f>IFERROR(_xlfn.XLOOKUP($A22,BS!$A$1:$A$36,BS!D$1:D$36,"",0,1)/_xlfn.XLOOKUP($A22,BS!$A$1:$A$36,BS!E$1:E$36,"",0,1)-1,"")</f>
        <v/>
      </c>
      <c r="E22" s="15" t="str">
        <f>IFERROR(_xlfn.XLOOKUP($A22,BS!$A$1:$A$36,BS!E$1:E$36,"",0,1)/_xlfn.XLOOKUP($A22,BS!$A$1:$A$36,BS!F$1:F$36,"",0,1)-1,"")</f>
        <v/>
      </c>
    </row>
    <row r="23" spans="1:5" ht="16" x14ac:dyDescent="0.35">
      <c r="A23" s="1" t="str">
        <f>BS!A23</f>
        <v>(1) EQUITY</v>
      </c>
      <c r="B23" s="15">
        <f>IFERROR(_xlfn.XLOOKUP($A23,BS!$A$1:$A$36,BS!B$1:B$36,"",0,1)/_xlfn.XLOOKUP($A23,BS!$A$1:$A$36,BS!C$1:C$36,"",0,1)-1,"")</f>
        <v>0.18774249441755142</v>
      </c>
      <c r="C23" s="15">
        <f>IFERROR(_xlfn.XLOOKUP($A23,BS!$A$1:$A$36,BS!C$1:C$36,"",0,1)/_xlfn.XLOOKUP($A23,BS!$A$1:$A$36,BS!D$1:D$36,"",0,1)-1,"")</f>
        <v>3.2299521668513576E-2</v>
      </c>
      <c r="D23" s="15">
        <f>IFERROR(_xlfn.XLOOKUP($A23,BS!$A$1:$A$36,BS!D$1:D$36,"",0,1)/_xlfn.XLOOKUP($A23,BS!$A$1:$A$36,BS!E$1:E$36,"",0,1)-1,"")</f>
        <v>2.2552619589641942E-2</v>
      </c>
      <c r="E23" s="15">
        <f>IFERROR(_xlfn.XLOOKUP($A23,BS!$A$1:$A$36,BS!E$1:E$36,"",0,1)/_xlfn.XLOOKUP($A23,BS!$A$1:$A$36,BS!F$1:F$36,"",0,1)-1,"")</f>
        <v>0.10704145823071953</v>
      </c>
    </row>
    <row r="24" spans="1:5" ht="16" x14ac:dyDescent="0.35">
      <c r="A24" s="1" t="str">
        <f>BS!A24</f>
        <v>Equity share capital</v>
      </c>
      <c r="B24" s="15">
        <f>IFERROR(_xlfn.XLOOKUP($A24,BS!$A$1:$A$36,BS!B$1:B$36,"",0,1)/_xlfn.XLOOKUP($A24,BS!$A$1:$A$36,BS!C$1:C$36,"",0,1)-1,"")</f>
        <v>6.1356100362908172E-4</v>
      </c>
      <c r="C24" s="15">
        <f>IFERROR(_xlfn.XLOOKUP($A24,BS!$A$1:$A$36,BS!C$1:C$36,"",0,1)/_xlfn.XLOOKUP($A24,BS!$A$1:$A$36,BS!D$1:D$36,"",0,1)-1,"")</f>
        <v>1.827962605107647E-4</v>
      </c>
      <c r="D24" s="15">
        <f>IFERROR(_xlfn.XLOOKUP($A24,BS!$A$1:$A$36,BS!D$1:D$36,"",0,1)/_xlfn.XLOOKUP($A24,BS!$A$1:$A$36,BS!E$1:E$36,"",0,1)-1,"")</f>
        <v>9.1406484637346352E-5</v>
      </c>
      <c r="E24" s="15">
        <f>IFERROR(_xlfn.XLOOKUP($A24,BS!$A$1:$A$36,BS!E$1:E$36,"",0,1)/_xlfn.XLOOKUP($A24,BS!$A$1:$A$36,BS!F$1:F$36,"",0,1)-1,"")</f>
        <v>6.4304972621396894E-2</v>
      </c>
    </row>
    <row r="25" spans="1:5" ht="16" x14ac:dyDescent="0.35">
      <c r="A25" s="1" t="str">
        <f>BS!A25</f>
        <v>Other equity</v>
      </c>
      <c r="B25" s="15">
        <f>IFERROR(_xlfn.XLOOKUP($A25,BS!$A$1:$A$36,BS!B$1:B$36,"",0,1)/_xlfn.XLOOKUP($A25,BS!$A$1:$A$36,BS!C$1:C$36,"",0,1)-1,"")</f>
        <v>0.19287704579507658</v>
      </c>
      <c r="C25" s="15">
        <f>IFERROR(_xlfn.XLOOKUP($A25,BS!$A$1:$A$36,BS!C$1:C$36,"",0,1)/_xlfn.XLOOKUP($A25,BS!$A$1:$A$36,BS!D$1:D$36,"",0,1)-1,"")</f>
        <v>3.3209858221358912E-2</v>
      </c>
      <c r="D25" s="15">
        <f>IFERROR(_xlfn.XLOOKUP($A25,BS!$A$1:$A$36,BS!D$1:D$36,"",0,1)/_xlfn.XLOOKUP($A25,BS!$A$1:$A$36,BS!E$1:E$36,"",0,1)-1,"")</f>
        <v>2.3203987650492142E-2</v>
      </c>
      <c r="E25" s="15">
        <f>IFERROR(_xlfn.XLOOKUP($A25,BS!$A$1:$A$36,BS!E$1:E$36,"",0,1)/_xlfn.XLOOKUP($A25,BS!$A$1:$A$36,BS!F$1:F$36,"",0,1)-1,"")</f>
        <v>0.10833207072667794</v>
      </c>
    </row>
    <row r="26" spans="1:5" ht="16" x14ac:dyDescent="0.35">
      <c r="A26" s="1" t="str">
        <f>BS!A26</f>
        <v>(2) NON-CURRENT LIABILITIES</v>
      </c>
      <c r="B26" s="15">
        <f>IFERROR(_xlfn.XLOOKUP($A26,BS!$A$1:$A$36,BS!B$1:B$36,"",0,1)/_xlfn.XLOOKUP($A26,BS!$A$1:$A$36,BS!C$1:C$36,"",0,1)-1,"")</f>
        <v>0.3758883077136963</v>
      </c>
      <c r="C26" s="15">
        <f>IFERROR(_xlfn.XLOOKUP($A26,BS!$A$1:$A$36,BS!C$1:C$36,"",0,1)/_xlfn.XLOOKUP($A26,BS!$A$1:$A$36,BS!D$1:D$36,"",0,1)-1,"")</f>
        <v>0.11287481878989802</v>
      </c>
      <c r="D26" s="15">
        <f>IFERROR(_xlfn.XLOOKUP($A26,BS!$A$1:$A$36,BS!D$1:D$36,"",0,1)/_xlfn.XLOOKUP($A26,BS!$A$1:$A$36,BS!E$1:E$36,"",0,1)-1,"")</f>
        <v>-0.1050940041252757</v>
      </c>
      <c r="E26" s="15">
        <f>IFERROR(_xlfn.XLOOKUP($A26,BS!$A$1:$A$36,BS!E$1:E$36,"",0,1)/_xlfn.XLOOKUP($A26,BS!$A$1:$A$36,BS!F$1:F$36,"",0,1)-1,"")</f>
        <v>-0.20677279388090997</v>
      </c>
    </row>
    <row r="27" spans="1:5" ht="16" x14ac:dyDescent="0.35">
      <c r="A27" s="1" t="str">
        <f>BS!A27</f>
        <v>Financial liabilities (Borrowings &amp; Lease)</v>
      </c>
      <c r="B27" s="15">
        <f>IFERROR(_xlfn.XLOOKUP($A27,BS!$A$1:$A$36,BS!B$1:B$36,"",0,1)/_xlfn.XLOOKUP($A27,BS!$A$1:$A$36,BS!C$1:C$36,"",0,1)-1,"")</f>
        <v>0.51967924792050701</v>
      </c>
      <c r="C27" s="15">
        <f>IFERROR(_xlfn.XLOOKUP($A27,BS!$A$1:$A$36,BS!C$1:C$36,"",0,1)/_xlfn.XLOOKUP($A27,BS!$A$1:$A$36,BS!D$1:D$36,"",0,1)-1,"")</f>
        <v>0.16669486423253077</v>
      </c>
      <c r="D27" s="15">
        <f>IFERROR(_xlfn.XLOOKUP($A27,BS!$A$1:$A$36,BS!D$1:D$36,"",0,1)/_xlfn.XLOOKUP($A27,BS!$A$1:$A$36,BS!E$1:E$36,"",0,1)-1,"")</f>
        <v>-0.15112099616501307</v>
      </c>
      <c r="E27" s="15">
        <f>IFERROR(_xlfn.XLOOKUP($A27,BS!$A$1:$A$36,BS!E$1:E$36,"",0,1)/_xlfn.XLOOKUP($A27,BS!$A$1:$A$36,BS!F$1:F$36,"",0,1)-1,"")</f>
        <v>-0.24481305096371631</v>
      </c>
    </row>
    <row r="28" spans="1:5" ht="16" x14ac:dyDescent="0.35">
      <c r="A28" s="1" t="str">
        <f>BS!A28</f>
        <v>Provisions</v>
      </c>
      <c r="B28" s="15">
        <f>IFERROR(_xlfn.XLOOKUP($A28,BS!$A$1:$A$36,BS!B$1:B$36,"",0,1)/_xlfn.XLOOKUP($A28,BS!$A$1:$A$36,BS!C$1:C$36,"",0,1)-1,"")</f>
        <v>-1.2403796128523048E-2</v>
      </c>
      <c r="C28" s="15">
        <f>IFERROR(_xlfn.XLOOKUP($A28,BS!$A$1:$A$36,BS!C$1:C$36,"",0,1)/_xlfn.XLOOKUP($A28,BS!$A$1:$A$36,BS!D$1:D$36,"",0,1)-1,"")</f>
        <v>-1.4664861253018358E-2</v>
      </c>
      <c r="D28" s="15">
        <f>IFERROR(_xlfn.XLOOKUP($A28,BS!$A$1:$A$36,BS!D$1:D$36,"",0,1)/_xlfn.XLOOKUP($A28,BS!$A$1:$A$36,BS!E$1:E$36,"",0,1)-1,"")</f>
        <v>1.8559663520574476E-2</v>
      </c>
      <c r="E28" s="15">
        <f>IFERROR(_xlfn.XLOOKUP($A28,BS!$A$1:$A$36,BS!E$1:E$36,"",0,1)/_xlfn.XLOOKUP($A28,BS!$A$1:$A$36,BS!F$1:F$36,"",0,1)-1,"")</f>
        <v>-8.3543994666913091E-2</v>
      </c>
    </row>
    <row r="29" spans="1:5" ht="16" x14ac:dyDescent="0.35">
      <c r="A29" s="1" t="str">
        <f>BS!A29</f>
        <v>Deferred tax liabilities (Net)</v>
      </c>
      <c r="B29" s="15">
        <f>IFERROR(_xlfn.XLOOKUP($A29,BS!$A$1:$A$36,BS!B$1:B$36,"",0,1)/_xlfn.XLOOKUP($A29,BS!$A$1:$A$36,BS!C$1:C$36,"",0,1)-1,"")</f>
        <v>-5.2622950819672125</v>
      </c>
      <c r="C29" s="15">
        <f>IFERROR(_xlfn.XLOOKUP($A29,BS!$A$1:$A$36,BS!C$1:C$36,"",0,1)/_xlfn.XLOOKUP($A29,BS!$A$1:$A$36,BS!D$1:D$36,"",0,1)-1,"")</f>
        <v>-5.4347826086956763E-3</v>
      </c>
      <c r="D29" s="15">
        <f>IFERROR(_xlfn.XLOOKUP($A29,BS!$A$1:$A$36,BS!D$1:D$36,"",0,1)/_xlfn.XLOOKUP($A29,BS!$A$1:$A$36,BS!E$1:E$36,"",0,1)-1,"")</f>
        <v>-1.0049304643747152</v>
      </c>
      <c r="E29" s="15">
        <f>IFERROR(_xlfn.XLOOKUP($A29,BS!$A$1:$A$36,BS!E$1:E$36,"",0,1)/_xlfn.XLOOKUP($A29,BS!$A$1:$A$36,BS!F$1:F$36,"",0,1)-1,"")</f>
        <v>-48.119949494949495</v>
      </c>
    </row>
    <row r="30" spans="1:5" ht="16" x14ac:dyDescent="0.35">
      <c r="A30" s="1" t="str">
        <f>BS!A30</f>
        <v>Other non-current liabilities</v>
      </c>
      <c r="B30" s="15">
        <f>IFERROR(_xlfn.XLOOKUP($A30,BS!$A$1:$A$36,BS!B$1:B$36,"",0,1)/_xlfn.XLOOKUP($A30,BS!$A$1:$A$36,BS!C$1:C$36,"",0,1)-1,"")</f>
        <v>0.23628257887517146</v>
      </c>
      <c r="C30" s="15">
        <f>IFERROR(_xlfn.XLOOKUP($A30,BS!$A$1:$A$36,BS!C$1:C$36,"",0,1)/_xlfn.XLOOKUP($A30,BS!$A$1:$A$36,BS!D$1:D$36,"",0,1)-1,"")</f>
        <v>0.28628142920158783</v>
      </c>
      <c r="D30" s="15">
        <f>IFERROR(_xlfn.XLOOKUP($A30,BS!$A$1:$A$36,BS!D$1:D$36,"",0,1)/_xlfn.XLOOKUP($A30,BS!$A$1:$A$36,BS!E$1:E$36,"",0,1)-1,"")</f>
        <v>-0.88995145631067962</v>
      </c>
      <c r="E30" s="15">
        <f>IFERROR(_xlfn.XLOOKUP($A30,BS!$A$1:$A$36,BS!E$1:E$36,"",0,1)/_xlfn.XLOOKUP($A30,BS!$A$1:$A$36,BS!F$1:F$36,"",0,1)-1,"")</f>
        <v>18.544592030360533</v>
      </c>
    </row>
    <row r="31" spans="1:5" ht="16" x14ac:dyDescent="0.35">
      <c r="A31" s="1" t="str">
        <f>BS!A31</f>
        <v>(3) CURRENT LIABILITIES</v>
      </c>
      <c r="B31" s="15">
        <f>IFERROR(_xlfn.XLOOKUP($A31,BS!$A$1:$A$36,BS!B$1:B$36,"",0,1)/_xlfn.XLOOKUP($A31,BS!$A$1:$A$36,BS!C$1:C$36,"",0,1)-1,"")</f>
        <v>0.15088824002124968</v>
      </c>
      <c r="C31" s="15">
        <f>IFERROR(_xlfn.XLOOKUP($A31,BS!$A$1:$A$36,BS!C$1:C$36,"",0,1)/_xlfn.XLOOKUP($A31,BS!$A$1:$A$36,BS!D$1:D$36,"",0,1)-1,"")</f>
        <v>1.0503102558331978E-2</v>
      </c>
      <c r="D31" s="15">
        <f>IFERROR(_xlfn.XLOOKUP($A31,BS!$A$1:$A$36,BS!D$1:D$36,"",0,1)/_xlfn.XLOOKUP($A31,BS!$A$1:$A$36,BS!E$1:E$36,"",0,1)-1,"")</f>
        <v>0.14841004422852944</v>
      </c>
      <c r="E31" s="15">
        <f>IFERROR(_xlfn.XLOOKUP($A31,BS!$A$1:$A$36,BS!E$1:E$36,"",0,1)/_xlfn.XLOOKUP($A31,BS!$A$1:$A$36,BS!F$1:F$36,"",0,1)-1,"")</f>
        <v>3.5381873429217947E-2</v>
      </c>
    </row>
    <row r="32" spans="1:5" ht="16" x14ac:dyDescent="0.35">
      <c r="A32" s="1" t="str">
        <f>BS!A32</f>
        <v>Financial liabilities (Borrowings, Trade Payables, Others)</v>
      </c>
      <c r="B32" s="15">
        <f>IFERROR(_xlfn.XLOOKUP($A32,BS!$A$1:$A$36,BS!B$1:B$36,"",0,1)/_xlfn.XLOOKUP($A32,BS!$A$1:$A$36,BS!C$1:C$36,"",0,1)-1,"")</f>
        <v>0.17183701198118895</v>
      </c>
      <c r="C32" s="15">
        <f>IFERROR(_xlfn.XLOOKUP($A32,BS!$A$1:$A$36,BS!C$1:C$36,"",0,1)/_xlfn.XLOOKUP($A32,BS!$A$1:$A$36,BS!D$1:D$36,"",0,1)-1,"")</f>
        <v>3.2025015148038349E-3</v>
      </c>
      <c r="D32" s="15">
        <f>IFERROR(_xlfn.XLOOKUP($A32,BS!$A$1:$A$36,BS!D$1:D$36,"",0,1)/_xlfn.XLOOKUP($A32,BS!$A$1:$A$36,BS!E$1:E$36,"",0,1)-1,"")</f>
        <v>0.15755373932160111</v>
      </c>
      <c r="E32" s="15">
        <f>IFERROR(_xlfn.XLOOKUP($A32,BS!$A$1:$A$36,BS!E$1:E$36,"",0,1)/_xlfn.XLOOKUP($A32,BS!$A$1:$A$36,BS!F$1:F$36,"",0,1)-1,"")</f>
        <v>6.3692409851113574E-2</v>
      </c>
    </row>
    <row r="33" spans="1:5" ht="16" x14ac:dyDescent="0.35">
      <c r="A33" s="1" t="str">
        <f>BS!A33</f>
        <v>Provisions</v>
      </c>
      <c r="B33" s="15">
        <f>IFERROR(_xlfn.XLOOKUP($A33,BS!$A$1:$A$36,BS!B$1:B$36,"",0,1)/_xlfn.XLOOKUP($A33,BS!$A$1:$A$36,BS!C$1:C$36,"",0,1)-1,"")</f>
        <v>-1.2403796128523048E-2</v>
      </c>
      <c r="C33" s="15">
        <f>IFERROR(_xlfn.XLOOKUP($A33,BS!$A$1:$A$36,BS!C$1:C$36,"",0,1)/_xlfn.XLOOKUP($A33,BS!$A$1:$A$36,BS!D$1:D$36,"",0,1)-1,"")</f>
        <v>-1.4664861253018358E-2</v>
      </c>
      <c r="D33" s="15">
        <f>IFERROR(_xlfn.XLOOKUP($A33,BS!$A$1:$A$36,BS!D$1:D$36,"",0,1)/_xlfn.XLOOKUP($A33,BS!$A$1:$A$36,BS!E$1:E$36,"",0,1)-1,"")</f>
        <v>1.8559663520574476E-2</v>
      </c>
      <c r="E33" s="15">
        <f>IFERROR(_xlfn.XLOOKUP($A33,BS!$A$1:$A$36,BS!E$1:E$36,"",0,1)/_xlfn.XLOOKUP($A33,BS!$A$1:$A$36,BS!F$1:F$36,"",0,1)-1,"")</f>
        <v>-8.3543994666913091E-2</v>
      </c>
    </row>
    <row r="34" spans="1:5" ht="16" x14ac:dyDescent="0.35">
      <c r="A34" s="1" t="str">
        <f>BS!A34</f>
        <v>Current tax liabilities (Net)</v>
      </c>
      <c r="B34" s="15">
        <f>IFERROR(_xlfn.XLOOKUP($A34,BS!$A$1:$A$36,BS!B$1:B$36,"",0,1)/_xlfn.XLOOKUP($A34,BS!$A$1:$A$36,BS!C$1:C$36,"",0,1)-1,"")</f>
        <v>-0.30349755547198198</v>
      </c>
      <c r="C34" s="15">
        <f>IFERROR(_xlfn.XLOOKUP($A34,BS!$A$1:$A$36,BS!C$1:C$36,"",0,1)/_xlfn.XLOOKUP($A34,BS!$A$1:$A$36,BS!D$1:D$36,"",0,1)-1,"")</f>
        <v>9.7325933400605447</v>
      </c>
      <c r="D34" s="15">
        <f>IFERROR(_xlfn.XLOOKUP($A34,BS!$A$1:$A$36,BS!D$1:D$36,"",0,1)/_xlfn.XLOOKUP($A34,BS!$A$1:$A$36,BS!E$1:E$36,"",0,1)-1,"")</f>
        <v>-0.77231476163124646</v>
      </c>
      <c r="E34" s="15">
        <f>IFERROR(_xlfn.XLOOKUP($A34,BS!$A$1:$A$36,BS!E$1:E$36,"",0,1)/_xlfn.XLOOKUP($A34,BS!$A$1:$A$36,BS!F$1:F$36,"",0,1)-1,"")</f>
        <v>-0.70525496038464142</v>
      </c>
    </row>
    <row r="35" spans="1:5" ht="16" x14ac:dyDescent="0.35">
      <c r="A35" s="1" t="str">
        <f>BS!A35</f>
        <v>Other current liabilities</v>
      </c>
      <c r="B35" s="15">
        <f>IFERROR(_xlfn.XLOOKUP($A35,BS!$A$1:$A$36,BS!B$1:B$36,"",0,1)/_xlfn.XLOOKUP($A35,BS!$A$1:$A$36,BS!C$1:C$36,"",0,1)-1,"")</f>
        <v>-4.4069745161908758E-3</v>
      </c>
      <c r="C35" s="15">
        <f>IFERROR(_xlfn.XLOOKUP($A35,BS!$A$1:$A$36,BS!C$1:C$36,"",0,1)/_xlfn.XLOOKUP($A35,BS!$A$1:$A$36,BS!D$1:D$36,"",0,1)-1,"")</f>
        <v>-0.31129585642649782</v>
      </c>
      <c r="D35" s="15">
        <f>IFERROR(_xlfn.XLOOKUP($A35,BS!$A$1:$A$36,BS!D$1:D$36,"",0,1)/_xlfn.XLOOKUP($A35,BS!$A$1:$A$36,BS!E$1:E$36,"",0,1)-1,"")</f>
        <v>0.26517891924981907</v>
      </c>
      <c r="E35" s="15">
        <f>IFERROR(_xlfn.XLOOKUP($A35,BS!$A$1:$A$36,BS!E$1:E$36,"",0,1)/_xlfn.XLOOKUP($A35,BS!$A$1:$A$36,BS!F$1:F$36,"",0,1)-1,"")</f>
        <v>-4.5741799578693842E-2</v>
      </c>
    </row>
    <row r="36" spans="1:5" ht="16" x14ac:dyDescent="0.35">
      <c r="A36" s="1" t="str">
        <f>BS!A36</f>
        <v>TOTAL EQUITY AND LIABILITIES (1) + (2) + (3)</v>
      </c>
      <c r="B36" s="15">
        <f>IFERROR(_xlfn.XLOOKUP($A36,BS!$A$1:$A$36,BS!B$1:B$36,"",0,1)/_xlfn.XLOOKUP($A36,BS!$A$1:$A$36,BS!C$1:C$36,"",0,1)-1,"")</f>
        <v>0.20795558892085819</v>
      </c>
      <c r="C36" s="15">
        <f>IFERROR(_xlfn.XLOOKUP($A36,BS!$A$1:$A$36,BS!C$1:C$36,"",0,1)/_xlfn.XLOOKUP($A36,BS!$A$1:$A$36,BS!D$1:D$36,"",0,1)-1,"")</f>
        <v>3.771782109212074E-2</v>
      </c>
      <c r="D36" s="15">
        <f>IFERROR(_xlfn.XLOOKUP($A36,BS!$A$1:$A$36,BS!D$1:D$36,"",0,1)/_xlfn.XLOOKUP($A36,BS!$A$1:$A$36,BS!E$1:E$36,"",0,1)-1,"")</f>
        <v>3.8808902418864921E-2</v>
      </c>
      <c r="E36" s="15">
        <f>IFERROR(_xlfn.XLOOKUP($A36,BS!$A$1:$A$36,BS!E$1:E$36,"",0,1)/_xlfn.XLOOKUP($A36,BS!$A$1:$A$36,BS!F$1:F$36,"",0,1)-1,"")</f>
        <v>8.8841293934294185E-3</v>
      </c>
    </row>
    <row r="37" spans="1:5" ht="16" x14ac:dyDescent="0.35">
      <c r="A37" s="1"/>
      <c r="B37" s="15"/>
      <c r="C37" s="15"/>
      <c r="D37" s="15"/>
      <c r="E37" s="15"/>
    </row>
    <row r="38" spans="1:5" ht="16" x14ac:dyDescent="0.35">
      <c r="A38" s="1"/>
      <c r="B38" s="15"/>
      <c r="C38" s="15"/>
      <c r="D38" s="15"/>
      <c r="E38" s="15"/>
    </row>
    <row r="39" spans="1:5" ht="16" x14ac:dyDescent="0.35">
      <c r="A39" s="1"/>
      <c r="B39" s="15"/>
      <c r="C39" s="15"/>
      <c r="D39" s="15"/>
      <c r="E39" s="15"/>
    </row>
    <row r="40" spans="1:5" ht="16" x14ac:dyDescent="0.35">
      <c r="A40" s="1"/>
      <c r="B40" s="15"/>
      <c r="C40" s="15"/>
      <c r="D40" s="15"/>
      <c r="E40" s="15"/>
    </row>
    <row r="41" spans="1:5" ht="16" x14ac:dyDescent="0.35">
      <c r="A41" s="1"/>
      <c r="B41" s="15"/>
      <c r="C41" s="15"/>
      <c r="D41" s="15"/>
      <c r="E41" s="15"/>
    </row>
    <row r="42" spans="1:5" ht="16" x14ac:dyDescent="0.35">
      <c r="A42" s="1"/>
      <c r="B42" s="15"/>
      <c r="C42" s="15"/>
      <c r="D42" s="15"/>
      <c r="E42" s="15"/>
    </row>
    <row r="43" spans="1:5" ht="16" x14ac:dyDescent="0.35">
      <c r="A43" s="1"/>
      <c r="B43" s="15"/>
      <c r="C43" s="15"/>
      <c r="D43" s="15"/>
      <c r="E43" s="15"/>
    </row>
    <row r="44" spans="1:5" ht="16" x14ac:dyDescent="0.35">
      <c r="A44" s="1"/>
      <c r="B44" s="15"/>
      <c r="C44" s="15"/>
      <c r="D44" s="15"/>
      <c r="E44" s="15"/>
    </row>
    <row r="45" spans="1:5" ht="16" x14ac:dyDescent="0.35">
      <c r="A45" s="1"/>
      <c r="B45" s="15"/>
      <c r="C45" s="15"/>
      <c r="D45" s="15"/>
      <c r="E45" s="15"/>
    </row>
    <row r="46" spans="1:5" ht="16" x14ac:dyDescent="0.35">
      <c r="A46" s="1"/>
      <c r="B46" s="15"/>
      <c r="C46" s="15"/>
      <c r="D46" s="15"/>
      <c r="E46" s="15"/>
    </row>
    <row r="47" spans="1:5" ht="16" x14ac:dyDescent="0.35">
      <c r="A47" s="1"/>
      <c r="B47" s="15"/>
      <c r="C47" s="15"/>
      <c r="D47" s="15"/>
      <c r="E47" s="15"/>
    </row>
    <row r="48" spans="1:5" ht="16" x14ac:dyDescent="0.35">
      <c r="A48" s="1"/>
      <c r="B48" s="15"/>
      <c r="C48" s="15"/>
      <c r="D48" s="15"/>
      <c r="E48" s="15"/>
    </row>
    <row r="49" spans="1:5" ht="16" x14ac:dyDescent="0.35">
      <c r="A49" s="1"/>
      <c r="B49" s="15"/>
      <c r="C49" s="15"/>
      <c r="D49" s="15"/>
      <c r="E49" s="15"/>
    </row>
    <row r="50" spans="1:5" x14ac:dyDescent="0.35">
      <c r="A50" s="1"/>
    </row>
    <row r="51" spans="1:5" x14ac:dyDescent="0.35">
      <c r="A51" s="1"/>
    </row>
    <row r="52" spans="1:5" x14ac:dyDescent="0.35">
      <c r="A52" s="1"/>
    </row>
    <row r="53" spans="1:5" x14ac:dyDescent="0.35">
      <c r="A53" s="1"/>
    </row>
    <row r="54" spans="1:5" x14ac:dyDescent="0.35">
      <c r="A54" s="1"/>
    </row>
    <row r="55" spans="1:5" x14ac:dyDescent="0.35">
      <c r="A55" s="1"/>
    </row>
    <row r="56" spans="1:5" x14ac:dyDescent="0.35">
      <c r="A56" s="1"/>
    </row>
    <row r="57" spans="1:5" x14ac:dyDescent="0.35">
      <c r="A57" s="1"/>
    </row>
    <row r="58" spans="1:5" x14ac:dyDescent="0.35">
      <c r="A58" s="1"/>
    </row>
    <row r="59" spans="1:5" x14ac:dyDescent="0.35">
      <c r="A5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105D-67D0-41DE-A82C-A4EC50B0F752}">
  <dimension ref="A1:F27"/>
  <sheetViews>
    <sheetView topLeftCell="A4" zoomScale="130" zoomScaleNormal="130" workbookViewId="0">
      <selection activeCell="B14" sqref="B14"/>
    </sheetView>
  </sheetViews>
  <sheetFormatPr defaultRowHeight="14.5" x14ac:dyDescent="0.35"/>
  <cols>
    <col min="1" max="1" width="57" customWidth="1"/>
    <col min="2" max="6" width="9.36328125" bestFit="1" customWidth="1"/>
  </cols>
  <sheetData>
    <row r="1" spans="1:6" x14ac:dyDescent="0.35">
      <c r="A1" s="1" t="str">
        <f>IS!A1</f>
        <v>Income Statement of Tata Motors from FY2020 TO FY2024</v>
      </c>
    </row>
    <row r="2" spans="1:6" x14ac:dyDescent="0.35">
      <c r="A2" s="1" t="str">
        <f>IS!A2</f>
        <v>Particulars</v>
      </c>
      <c r="B2" s="1" t="str">
        <f>IS!B2</f>
        <v>FY2024</v>
      </c>
      <c r="C2" s="1" t="str">
        <f>IS!C2</f>
        <v>FY2023</v>
      </c>
      <c r="D2" s="1" t="str">
        <f>IS!D2</f>
        <v>FY2022</v>
      </c>
      <c r="E2" s="1" t="str">
        <f>IS!E2</f>
        <v>FY2021</v>
      </c>
      <c r="F2" s="1" t="str">
        <f>IS!F2</f>
        <v>FY2020</v>
      </c>
    </row>
    <row r="3" spans="1:6" x14ac:dyDescent="0.35">
      <c r="A3" t="str">
        <f>IS!A3</f>
        <v>I. Revenue from operations</v>
      </c>
    </row>
    <row r="4" spans="1:6" ht="16" x14ac:dyDescent="0.35">
      <c r="A4" t="str">
        <f>IS!A4</f>
        <v>(a) Revenue</v>
      </c>
      <c r="B4" s="15">
        <f>_xlfn.XLOOKUP($A4,IS!$A$2:$A$28,IS!B$2:B$28," ",0,1)/_xlfn.XLOOKUP($A$6,IS!$A$2:$A$28,IS!B$2:B$28," ",0,1)</f>
        <v>0.99239922797241253</v>
      </c>
      <c r="C4" s="15">
        <f>_xlfn.XLOOKUP($A4,IS!$A$2:$A$28,IS!C$2:C$28," ",0,1)/_xlfn.XLOOKUP($A$6,IS!$A$2:$A$28,IS!C$2:C$28," ",0,1)</f>
        <v>0.99302754537022708</v>
      </c>
      <c r="D4" s="15">
        <f>_xlfn.XLOOKUP($A4,IS!$A$2:$A$28,IS!D$2:D$28," ",0,1)/_xlfn.XLOOKUP($A$6,IS!$A$2:$A$28,IS!D$2:D$28," ",0,1)</f>
        <v>0.99190266183251075</v>
      </c>
      <c r="E4" s="15">
        <f>_xlfn.XLOOKUP($A4,IS!$A$2:$A$28,IS!E$2:E$28," ",0,1)/_xlfn.XLOOKUP($A$6,IS!$A$2:$A$28,IS!E$2:E$28," ",0,1)</f>
        <v>0.98996246555763612</v>
      </c>
      <c r="F4" s="15">
        <f>_xlfn.XLOOKUP($A4,IS!$A$2:$A$28,IS!F$2:F$28," ",0,1)/_xlfn.XLOOKUP($A$6,IS!$A$2:$A$28,IS!F$2:F$28," ",0,1)</f>
        <v>0.98992878601589829</v>
      </c>
    </row>
    <row r="5" spans="1:6" ht="16" x14ac:dyDescent="0.35">
      <c r="A5" t="str">
        <f>IS!A5</f>
        <v>(b) Other operating revenue</v>
      </c>
      <c r="B5" s="15">
        <f>_xlfn.XLOOKUP($A5,IS!$A$2:$A$28,IS!B$2:B$28," ",0,1)/_xlfn.XLOOKUP($A$6,IS!$A$2:$A$28,IS!B$2:B$28," ",0,1)</f>
        <v>7.6007720275873807E-3</v>
      </c>
      <c r="C5" s="15">
        <f>_xlfn.XLOOKUP($A5,IS!$A$2:$A$28,IS!C$2:C$28," ",0,1)/_xlfn.XLOOKUP($A$6,IS!$A$2:$A$28,IS!C$2:C$28," ",0,1)</f>
        <v>6.9724546297728332E-3</v>
      </c>
      <c r="D5" s="15">
        <f>_xlfn.XLOOKUP($A5,IS!$A$2:$A$28,IS!D$2:D$28," ",0,1)/_xlfn.XLOOKUP($A$6,IS!$A$2:$A$28,IS!D$2:D$28," ",0,1)</f>
        <v>8.0973381674892854E-3</v>
      </c>
      <c r="E5" s="15">
        <f>_xlfn.XLOOKUP($A5,IS!$A$2:$A$28,IS!E$2:E$28," ",0,1)/_xlfn.XLOOKUP($A$6,IS!$A$2:$A$28,IS!E$2:E$28," ",0,1)</f>
        <v>1.0037534442363804E-2</v>
      </c>
      <c r="F5" s="15">
        <f>_xlfn.XLOOKUP($A5,IS!$A$2:$A$28,IS!F$2:F$28," ",0,1)/_xlfn.XLOOKUP($A$6,IS!$A$2:$A$28,IS!F$2:F$28," ",0,1)</f>
        <v>1.0071213984101775E-2</v>
      </c>
    </row>
    <row r="6" spans="1:6" ht="16" x14ac:dyDescent="0.35">
      <c r="A6" s="17" t="str">
        <f>IS!A6</f>
        <v>Total revenue from operations (I)</v>
      </c>
      <c r="B6" s="18">
        <f>_xlfn.XLOOKUP($A6,IS!$A$2:$A$28,IS!B$2:B$28," ",0,1)/_xlfn.XLOOKUP($A$6,IS!$A$2:$A$28,IS!B$2:B$28," ",0,1)</f>
        <v>1</v>
      </c>
      <c r="C6" s="18">
        <f>_xlfn.XLOOKUP($A6,IS!$A$2:$A$28,IS!C$2:C$28," ",0,1)/_xlfn.XLOOKUP($A$6,IS!$A$2:$A$28,IS!C$2:C$28," ",0,1)</f>
        <v>1</v>
      </c>
      <c r="D6" s="18">
        <f>_xlfn.XLOOKUP($A6,IS!$A$2:$A$28,IS!D$2:D$28," ",0,1)/_xlfn.XLOOKUP($A$6,IS!$A$2:$A$28,IS!D$2:D$28," ",0,1)</f>
        <v>1</v>
      </c>
      <c r="E6" s="18">
        <f>_xlfn.XLOOKUP($A6,IS!$A$2:$A$28,IS!E$2:E$28," ",0,1)/_xlfn.XLOOKUP($A$6,IS!$A$2:$A$28,IS!E$2:E$28," ",0,1)</f>
        <v>1</v>
      </c>
      <c r="F6" s="18">
        <f>_xlfn.XLOOKUP($A6,IS!$A$2:$A$28,IS!F$2:F$28," ",0,1)/_xlfn.XLOOKUP($A$6,IS!$A$2:$A$28,IS!F$2:F$28," ",0,1)</f>
        <v>1</v>
      </c>
    </row>
    <row r="7" spans="1:6" ht="16" x14ac:dyDescent="0.35">
      <c r="A7" t="str">
        <f>IS!A7</f>
        <v>II. Other Income</v>
      </c>
      <c r="B7" s="15">
        <f>_xlfn.XLOOKUP($A7,IS!$A$2:$A$28,IS!B$2:B$28," ",0,1)/_xlfn.XLOOKUP($A$6,IS!$A$2:$A$28,IS!B$2:B$28," ",0,1)</f>
        <v>1.5686653275687735E-2</v>
      </c>
      <c r="C7" s="15">
        <f>_xlfn.XLOOKUP($A7,IS!$A$2:$A$28,IS!C$2:C$28," ",0,1)/_xlfn.XLOOKUP($A$6,IS!$A$2:$A$28,IS!C$2:C$28," ",0,1)</f>
        <v>1.2484387672066369E-2</v>
      </c>
      <c r="D7" s="15">
        <f>_xlfn.XLOOKUP($A7,IS!$A$2:$A$28,IS!D$2:D$28," ",0,1)/_xlfn.XLOOKUP($A$6,IS!$A$2:$A$28,IS!D$2:D$28," ",0,1)</f>
        <v>1.3962306786098755E-2</v>
      </c>
      <c r="E7" s="15">
        <f>_xlfn.XLOOKUP($A7,IS!$A$2:$A$28,IS!E$2:E$28," ",0,1)/_xlfn.XLOOKUP($A$6,IS!$A$2:$A$28,IS!E$2:E$28," ",0,1)</f>
        <v>1.7923318152717745E-2</v>
      </c>
      <c r="F7" s="15">
        <f>_xlfn.XLOOKUP($A7,IS!$A$2:$A$28,IS!F$2:F$28," ",0,1)/_xlfn.XLOOKUP($A$6,IS!$A$2:$A$28,IS!F$2:F$28," ",0,1)</f>
        <v>3.1484352751321075E-2</v>
      </c>
    </row>
    <row r="8" spans="1:6" ht="16" x14ac:dyDescent="0.35">
      <c r="A8" t="str">
        <f>IS!A8</f>
        <v>III. Total Income (I+II)</v>
      </c>
      <c r="B8" s="15">
        <f>_xlfn.XLOOKUP($A8,IS!$A$2:$A$28,IS!B$2:B$28," ",0,1)/_xlfn.XLOOKUP($A$6,IS!$A$2:$A$28,IS!B$2:B$28," ",0,1)</f>
        <v>1.0156866532756879</v>
      </c>
      <c r="C8" s="15">
        <f>_xlfn.XLOOKUP($A8,IS!$A$2:$A$28,IS!C$2:C$28," ",0,1)/_xlfn.XLOOKUP($A$6,IS!$A$2:$A$28,IS!C$2:C$28," ",0,1)</f>
        <v>1.0124843876720664</v>
      </c>
      <c r="D8" s="15">
        <f>_xlfn.XLOOKUP($A8,IS!$A$2:$A$28,IS!D$2:D$28," ",0,1)/_xlfn.XLOOKUP($A$6,IS!$A$2:$A$28,IS!D$2:D$28," ",0,1)</f>
        <v>1.0139623067860988</v>
      </c>
      <c r="E8" s="15">
        <f>_xlfn.XLOOKUP($A8,IS!$A$2:$A$28,IS!E$2:E$28," ",0,1)/_xlfn.XLOOKUP($A$6,IS!$A$2:$A$28,IS!E$2:E$28," ",0,1)</f>
        <v>1.0179233181527176</v>
      </c>
      <c r="F8" s="15">
        <f>_xlfn.XLOOKUP($A8,IS!$A$2:$A$28,IS!F$2:F$28," ",0,1)/_xlfn.XLOOKUP($A$6,IS!$A$2:$A$28,IS!F$2:F$28," ",0,1)</f>
        <v>1.0314843527513211</v>
      </c>
    </row>
    <row r="9" spans="1:6" ht="16" x14ac:dyDescent="0.35">
      <c r="A9" t="str">
        <f>IS!A9</f>
        <v>IV. Expenses:</v>
      </c>
      <c r="B9" s="15">
        <f>_xlfn.XLOOKUP($A9,IS!$A$2:$A$28,IS!B$2:B$28," ",0,1)/_xlfn.XLOOKUP($A$6,IS!$A$2:$A$28,IS!B$2:B$28," ",0,1)</f>
        <v>0</v>
      </c>
      <c r="C9" s="15">
        <f>_xlfn.XLOOKUP($A9,IS!$A$2:$A$28,IS!C$2:C$28," ",0,1)/_xlfn.XLOOKUP($A$6,IS!$A$2:$A$28,IS!C$2:C$28," ",0,1)</f>
        <v>0</v>
      </c>
      <c r="D9" s="15">
        <f>_xlfn.XLOOKUP($A9,IS!$A$2:$A$28,IS!D$2:D$28," ",0,1)/_xlfn.XLOOKUP($A$6,IS!$A$2:$A$28,IS!D$2:D$28," ",0,1)</f>
        <v>0</v>
      </c>
      <c r="E9" s="15">
        <f>_xlfn.XLOOKUP($A9,IS!$A$2:$A$28,IS!E$2:E$28," ",0,1)/_xlfn.XLOOKUP($A$6,IS!$A$2:$A$28,IS!E$2:E$28," ",0,1)</f>
        <v>0</v>
      </c>
      <c r="F9" s="15">
        <f>_xlfn.XLOOKUP($A9,IS!$A$2:$A$28,IS!F$2:F$28," ",0,1)/_xlfn.XLOOKUP($A$6,IS!$A$2:$A$28,IS!F$2:F$28," ",0,1)</f>
        <v>0</v>
      </c>
    </row>
    <row r="10" spans="1:6" ht="16" x14ac:dyDescent="0.35">
      <c r="A10" t="str">
        <f>IS!A10</f>
        <v>(a) Cost of materials consumed</v>
      </c>
      <c r="B10" s="15">
        <f>_xlfn.XLOOKUP($A10,IS!$A$2:$A$28,IS!B$2:B$28," ",0,1)/_xlfn.XLOOKUP($A$6,IS!$A$2:$A$28,IS!B$2:B$28," ",0,1)</f>
        <v>0.63786241996925641</v>
      </c>
      <c r="C10" s="15">
        <f>_xlfn.XLOOKUP($A10,IS!$A$2:$A$28,IS!C$2:C$28," ",0,1)/_xlfn.XLOOKUP($A$6,IS!$A$2:$A$28,IS!C$2:C$28," ",0,1)</f>
        <v>0.64216126171789512</v>
      </c>
      <c r="D10" s="15">
        <f>_xlfn.XLOOKUP($A10,IS!$A$2:$A$28,IS!D$2:D$28," ",0,1)/_xlfn.XLOOKUP($A$6,IS!$A$2:$A$28,IS!D$2:D$28," ",0,1)</f>
        <v>0.67055950785042551</v>
      </c>
      <c r="E10" s="15">
        <f>_xlfn.XLOOKUP($A10,IS!$A$2:$A$28,IS!E$2:E$28," ",0,1)/_xlfn.XLOOKUP($A$6,IS!$A$2:$A$28,IS!E$2:E$28," ",0,1)</f>
        <v>0.60583094681072058</v>
      </c>
      <c r="F10" s="15">
        <f>_xlfn.XLOOKUP($A10,IS!$A$2:$A$28,IS!F$2:F$28," ",0,1)/_xlfn.XLOOKUP($A$6,IS!$A$2:$A$28,IS!F$2:F$28," ",0,1)</f>
        <v>0.5957873956506724</v>
      </c>
    </row>
    <row r="11" spans="1:6" ht="16" x14ac:dyDescent="0.35">
      <c r="A11" t="str">
        <f>IS!A11</f>
        <v>(b) Purchases of products for sale</v>
      </c>
      <c r="B11" s="15">
        <f>_xlfn.XLOOKUP($A11,IS!$A$2:$A$28,IS!B$2:B$28," ",0,1)/_xlfn.XLOOKUP($A$6,IS!$A$2:$A$28,IS!B$2:B$28," ",0,1)</f>
        <v>9.1497246773259724E-2</v>
      </c>
      <c r="C11" s="15">
        <f>_xlfn.XLOOKUP($A11,IS!$A$2:$A$28,IS!C$2:C$28," ",0,1)/_xlfn.XLOOKUP($A$6,IS!$A$2:$A$28,IS!C$2:C$28," ",0,1)</f>
        <v>9.9780815309867349E-2</v>
      </c>
      <c r="D11" s="15">
        <f>_xlfn.XLOOKUP($A11,IS!$A$2:$A$28,IS!D$2:D$28," ",0,1)/_xlfn.XLOOKUP($A$6,IS!$A$2:$A$28,IS!D$2:D$28," ",0,1)</f>
        <v>0.10642421411113143</v>
      </c>
      <c r="E11" s="15">
        <f>_xlfn.XLOOKUP($A11,IS!$A$2:$A$28,IS!E$2:E$28," ",0,1)/_xlfn.XLOOKUP($A$6,IS!$A$2:$A$28,IS!E$2:E$28," ",0,1)</f>
        <v>0.1598514781698297</v>
      </c>
      <c r="F11" s="15">
        <f>_xlfn.XLOOKUP($A11,IS!$A$2:$A$28,IS!F$2:F$28," ",0,1)/_xlfn.XLOOKUP($A$6,IS!$A$2:$A$28,IS!F$2:F$28," ",0,1)</f>
        <v>0.12930153930837546</v>
      </c>
    </row>
    <row r="12" spans="1:6" ht="16" x14ac:dyDescent="0.35">
      <c r="A12" t="str">
        <f>IS!A12</f>
        <v>(c) Changes in Stock</v>
      </c>
      <c r="B12" s="15">
        <f>_xlfn.XLOOKUP($A12,IS!$A$2:$A$28,IS!B$2:B$28," ",0,1)/_xlfn.XLOOKUP($A$6,IS!$A$2:$A$28,IS!B$2:B$28," ",0,1)</f>
        <v>2.3687272076425708E-2</v>
      </c>
      <c r="C12" s="15">
        <f>_xlfn.XLOOKUP($A12,IS!$A$2:$A$28,IS!C$2:C$28," ",0,1)/_xlfn.XLOOKUP($A$6,IS!$A$2:$A$28,IS!C$2:C$28," ",0,1)</f>
        <v>7.3708892985770557E-3</v>
      </c>
      <c r="D12" s="15">
        <f>_xlfn.XLOOKUP($A12,IS!$A$2:$A$28,IS!D$2:D$28," ",0,1)/_xlfn.XLOOKUP($A$6,IS!$A$2:$A$28,IS!D$2:D$28," ",0,1)</f>
        <v>-8.545039235201321E-3</v>
      </c>
      <c r="E12" s="15">
        <f>_xlfn.XLOOKUP($A12,IS!$A$2:$A$28,IS!E$2:E$28," ",0,1)/_xlfn.XLOOKUP($A$6,IS!$A$2:$A$28,IS!E$2:E$28," ",0,1)</f>
        <v>-2.3065407056168988E-3</v>
      </c>
      <c r="F12" s="15">
        <f>_xlfn.XLOOKUP($A12,IS!$A$2:$A$28,IS!F$2:F$28," ",0,1)/_xlfn.XLOOKUP($A$6,IS!$A$2:$A$28,IS!F$2:F$28," ",0,1)</f>
        <v>1.6451402368912703E-2</v>
      </c>
    </row>
    <row r="13" spans="1:6" ht="16" x14ac:dyDescent="0.35">
      <c r="A13" t="str">
        <f>IS!A13</f>
        <v>(d) Employee benefits expense</v>
      </c>
      <c r="B13" s="15">
        <f>_xlfn.XLOOKUP($A13,IS!$A$2:$A$28,IS!B$2:B$28," ",0,1)/_xlfn.XLOOKUP($A$6,IS!$A$2:$A$28,IS!B$2:B$28," ",0,1)</f>
        <v>5.877174601667487E-2</v>
      </c>
      <c r="C13" s="15">
        <f>_xlfn.XLOOKUP($A13,IS!$A$2:$A$28,IS!C$2:C$28," ",0,1)/_xlfn.XLOOKUP($A$6,IS!$A$2:$A$28,IS!C$2:C$28," ",0,1)</f>
        <v>6.1158657141340743E-2</v>
      </c>
      <c r="D13" s="15">
        <f>_xlfn.XLOOKUP($A13,IS!$A$2:$A$28,IS!D$2:D$28," ",0,1)/_xlfn.XLOOKUP($A$6,IS!$A$2:$A$28,IS!D$2:D$28," ",0,1)</f>
        <v>7.6200372040433589E-2</v>
      </c>
      <c r="E13" s="15">
        <f>_xlfn.XLOOKUP($A13,IS!$A$2:$A$28,IS!E$2:E$28," ",0,1)/_xlfn.XLOOKUP($A$6,IS!$A$2:$A$28,IS!E$2:E$28," ",0,1)</f>
        <v>8.4788334279153929E-2</v>
      </c>
      <c r="F13" s="15">
        <f>_xlfn.XLOOKUP($A13,IS!$A$2:$A$28,IS!F$2:F$28," ",0,1)/_xlfn.XLOOKUP($A$6,IS!$A$2:$A$28,IS!F$2:F$28," ",0,1)</f>
        <v>9.9806342945768067E-2</v>
      </c>
    </row>
    <row r="14" spans="1:6" ht="16" x14ac:dyDescent="0.35">
      <c r="A14" t="str">
        <f>IS!A14</f>
        <v>(e) Finance costs</v>
      </c>
      <c r="B14" s="15">
        <f>_xlfn.XLOOKUP($A14,IS!$A$2:$A$28,IS!B$2:B$28," ",0,1)/_xlfn.XLOOKUP($A$6,IS!$A$2:$A$28,IS!B$2:B$28," ",0,1)</f>
        <v>2.3269690714223742E-2</v>
      </c>
      <c r="C14" s="15">
        <f>_xlfn.XLOOKUP($A14,IS!$A$2:$A$28,IS!C$2:C$28," ",0,1)/_xlfn.XLOOKUP($A$6,IS!$A$2:$A$28,IS!C$2:C$28," ",0,1)</f>
        <v>3.1137365218447888E-2</v>
      </c>
      <c r="D14" s="15">
        <f>_xlfn.XLOOKUP($A14,IS!$A$2:$A$28,IS!D$2:D$28," ",0,1)/_xlfn.XLOOKUP($A$6,IS!$A$2:$A$28,IS!D$2:D$28," ",0,1)</f>
        <v>4.4891341512129396E-2</v>
      </c>
      <c r="E14" s="15">
        <f>_xlfn.XLOOKUP($A14,IS!$A$2:$A$28,IS!E$2:E$28," ",0,1)/_xlfn.XLOOKUP($A$6,IS!$A$2:$A$28,IS!E$2:E$28," ",0,1)</f>
        <v>4.8661247458350758E-2</v>
      </c>
      <c r="F14" s="15">
        <f>_xlfn.XLOOKUP($A14,IS!$A$2:$A$28,IS!F$2:F$28," ",0,1)/_xlfn.XLOOKUP($A$6,IS!$A$2:$A$28,IS!F$2:F$28," ",0,1)</f>
        <v>4.4914231573953571E-2</v>
      </c>
    </row>
    <row r="15" spans="1:6" ht="16" x14ac:dyDescent="0.35">
      <c r="A15" t="str">
        <f>IS!A15</f>
        <v>(f) Foreign exchange loss (net)</v>
      </c>
      <c r="B15" s="15">
        <f>_xlfn.XLOOKUP($A15,IS!$A$2:$A$28,IS!B$2:B$28," ",0,1)/_xlfn.XLOOKUP($A$6,IS!$A$2:$A$28,IS!B$2:B$28," ",0,1)</f>
        <v>2.7382205495321615E-3</v>
      </c>
      <c r="C15" s="15">
        <f>_xlfn.XLOOKUP($A15,IS!$A$2:$A$28,IS!C$2:C$28," ",0,1)/_xlfn.XLOOKUP($A$6,IS!$A$2:$A$28,IS!C$2:C$28," ",0,1)</f>
        <v>4.2544306467431079E-3</v>
      </c>
      <c r="D15" s="15">
        <f>_xlfn.XLOOKUP($A15,IS!$A$2:$A$28,IS!D$2:D$28," ",0,1)/_xlfn.XLOOKUP($A$6,IS!$A$2:$A$28,IS!D$2:D$28," ",0,1)</f>
        <v>2.8946116764500774E-3</v>
      </c>
      <c r="E15" s="15">
        <f>_xlfn.XLOOKUP($A15,IS!$A$2:$A$28,IS!E$2:E$28," ",0,1)/_xlfn.XLOOKUP($A$6,IS!$A$2:$A$28,IS!E$2:E$28," ",0,1)</f>
        <v>6.1703365852693948E-4</v>
      </c>
      <c r="F15" s="15">
        <f>_xlfn.XLOOKUP($A15,IS!$A$2:$A$28,IS!F$2:F$28," ",0,1)/_xlfn.XLOOKUP($A$6,IS!$A$2:$A$28,IS!F$2:F$28," ",0,1)</f>
        <v>5.4407001247718722E-3</v>
      </c>
    </row>
    <row r="16" spans="1:6" ht="16" x14ac:dyDescent="0.35">
      <c r="A16" t="str">
        <f>IS!A16</f>
        <v>(g) Depreciation and amortisation expense</v>
      </c>
      <c r="B16" s="15">
        <f>_xlfn.XLOOKUP($A16,IS!$A$2:$A$28,IS!B$2:B$28," ",0,1)/_xlfn.XLOOKUP($A$6,IS!$A$2:$A$28,IS!B$2:B$28," ",0,1)</f>
        <v>2.7513714294133341E-2</v>
      </c>
      <c r="C16" s="15">
        <f>_xlfn.XLOOKUP($A16,IS!$A$2:$A$28,IS!C$2:C$28," ",0,1)/_xlfn.XLOOKUP($A$6,IS!$A$2:$A$28,IS!C$2:C$28," ",0,1)</f>
        <v>2.686939995890952E-2</v>
      </c>
      <c r="D16" s="15">
        <f>_xlfn.XLOOKUP($A16,IS!$A$2:$A$28,IS!D$2:D$28," ",0,1)/_xlfn.XLOOKUP($A$6,IS!$A$2:$A$28,IS!D$2:D$28," ",0,1)</f>
        <v>3.724995599157746E-2</v>
      </c>
      <c r="E16" s="15">
        <f>_xlfn.XLOOKUP($A16,IS!$A$2:$A$28,IS!E$2:E$28," ",0,1)/_xlfn.XLOOKUP($A$6,IS!$A$2:$A$28,IS!E$2:E$28," ",0,1)</f>
        <v>7.0714353601960558E-2</v>
      </c>
      <c r="F16" s="15">
        <f>_xlfn.XLOOKUP($A16,IS!$A$2:$A$28,IS!F$2:F$28," ",0,1)/_xlfn.XLOOKUP($A$6,IS!$A$2:$A$28,IS!F$2:F$28," ",0,1)</f>
        <v>7.6836572067536621E-2</v>
      </c>
    </row>
    <row r="17" spans="1:6" ht="16" x14ac:dyDescent="0.35">
      <c r="A17" t="str">
        <f>IS!A17</f>
        <v>(h) Product development/Engineering expenses</v>
      </c>
      <c r="B17" s="15">
        <f>_xlfn.XLOOKUP($A17,IS!$A$2:$A$28,IS!B$2:B$28," ",0,1)/_xlfn.XLOOKUP($A$6,IS!$A$2:$A$28,IS!B$2:B$28," ",0,1)</f>
        <v>1.5071535875436611E-2</v>
      </c>
      <c r="C17" s="15">
        <f>_xlfn.XLOOKUP($A17,IS!$A$2:$A$28,IS!C$2:C$28," ",0,1)/_xlfn.XLOOKUP($A$6,IS!$A$2:$A$28,IS!C$2:C$28," ",0,1)</f>
        <v>1.3672392112027662E-2</v>
      </c>
      <c r="D17" s="15">
        <f>_xlfn.XLOOKUP($A17,IS!$A$2:$A$28,IS!D$2:D$28," ",0,1)/_xlfn.XLOOKUP($A$6,IS!$A$2:$A$28,IS!D$2:D$28," ",0,1)</f>
        <v>1.2565674107475338E-2</v>
      </c>
      <c r="E17" s="15">
        <f>_xlfn.XLOOKUP($A17,IS!$A$2:$A$28,IS!E$2:E$28," ",0,1)/_xlfn.XLOOKUP($A$6,IS!$A$2:$A$28,IS!E$2:E$28," ",0,1)</f>
        <v>1.9294315061808617E-2</v>
      </c>
      <c r="F17" s="15">
        <f>_xlfn.XLOOKUP($A17,IS!$A$2:$A$28,IS!F$2:F$28," ",0,1)/_xlfn.XLOOKUP($A$6,IS!$A$2:$A$28,IS!F$2:F$28," ",0,1)</f>
        <v>1.8899945069416734E-2</v>
      </c>
    </row>
    <row r="18" spans="1:6" ht="16" x14ac:dyDescent="0.35">
      <c r="A18" t="str">
        <f>IS!A18</f>
        <v>(i) Other expenses</v>
      </c>
      <c r="B18" s="15">
        <f>_xlfn.XLOOKUP($A18,IS!$A$2:$A$28,IS!B$2:B$28," ",0,1)/_xlfn.XLOOKUP($A$6,IS!$A$2:$A$28,IS!B$2:B$28," ",0,1)</f>
        <v>0.1038176022071651</v>
      </c>
      <c r="C18" s="15">
        <f>_xlfn.XLOOKUP($A18,IS!$A$2:$A$28,IS!C$2:C$28," ",0,1)/_xlfn.XLOOKUP($A$6,IS!$A$2:$A$28,IS!C$2:C$28," ",0,1)</f>
        <v>0.11891814950515782</v>
      </c>
      <c r="D18" s="15">
        <f>_xlfn.XLOOKUP($A18,IS!$A$2:$A$28,IS!D$2:D$28," ",0,1)/_xlfn.XLOOKUP($A$6,IS!$A$2:$A$28,IS!D$2:D$28," ",0,1)</f>
        <v>0.12734323692103536</v>
      </c>
      <c r="E18" s="15">
        <f>_xlfn.XLOOKUP($A18,IS!$A$2:$A$28,IS!E$2:E$28," ",0,1)/_xlfn.XLOOKUP($A$6,IS!$A$2:$A$28,IS!E$2:E$28," ",0,1)</f>
        <v>0.11933456470741824</v>
      </c>
      <c r="F18" s="15">
        <f>_xlfn.XLOOKUP($A18,IS!$A$2:$A$28,IS!F$2:F$28," ",0,1)/_xlfn.XLOOKUP($A$6,IS!$A$2:$A$28,IS!F$2:F$28," ",0,1)</f>
        <v>0.17575851668758338</v>
      </c>
    </row>
    <row r="19" spans="1:6" ht="16" x14ac:dyDescent="0.35">
      <c r="A19" t="str">
        <f>IS!A19</f>
        <v>(j) Amount transferred to capital and other accounts</v>
      </c>
      <c r="B19" s="15">
        <f>_xlfn.XLOOKUP($A19,IS!$A$2:$A$28,IS!B$2:B$28," ",0,1)/_xlfn.XLOOKUP($A$6,IS!$A$2:$A$28,IS!B$2:B$28," ",0,1)</f>
        <v>-1.5411767145391435E-2</v>
      </c>
      <c r="C19" s="15">
        <f>_xlfn.XLOOKUP($A19,IS!$A$2:$A$28,IS!C$2:C$28," ",0,1)/_xlfn.XLOOKUP($A$6,IS!$A$2:$A$28,IS!C$2:C$28," ",0,1)</f>
        <v>-1.6222221918073619E-2</v>
      </c>
      <c r="D19" s="15">
        <f>_xlfn.XLOOKUP($A19,IS!$A$2:$A$28,IS!D$2:D$28," ",0,1)/_xlfn.XLOOKUP($A$6,IS!$A$2:$A$28,IS!D$2:D$28," ",0,1)</f>
        <v>-1.9156781697912646E-2</v>
      </c>
      <c r="E19" s="15">
        <f>_xlfn.XLOOKUP($A19,IS!$A$2:$A$28,IS!E$2:E$28," ",0,1)/_xlfn.XLOOKUP($A$6,IS!$A$2:$A$28,IS!E$2:E$28," ",0,1)</f>
        <v>-1.7382616363043724E-2</v>
      </c>
      <c r="F19" s="15">
        <f>_xlfn.XLOOKUP($A19,IS!$A$2:$A$28,IS!F$2:F$28," ",0,1)/_xlfn.XLOOKUP($A$6,IS!$A$2:$A$28,IS!F$2:F$28," ",0,1)</f>
        <v>-2.6622096936885831E-2</v>
      </c>
    </row>
    <row r="20" spans="1:6" ht="16" x14ac:dyDescent="0.35">
      <c r="A20" t="str">
        <f>IS!A20</f>
        <v>Total Expenses (IV)</v>
      </c>
      <c r="B20" s="15">
        <f>_xlfn.XLOOKUP($A20,IS!$A$2:$A$28,IS!B$2:B$28," ",0,1)/_xlfn.XLOOKUP($A$6,IS!$A$2:$A$28,IS!B$2:B$28," ",0,1)</f>
        <v>0.94562629564815015</v>
      </c>
      <c r="C20" s="15">
        <f>_xlfn.XLOOKUP($A20,IS!$A$2:$A$28,IS!C$2:C$28," ",0,1)/_xlfn.XLOOKUP($A$6,IS!$A$2:$A$28,IS!C$2:C$28," ",0,1)</f>
        <v>0.98910113899089269</v>
      </c>
      <c r="D20" s="15">
        <f>_xlfn.XLOOKUP($A20,IS!$A$2:$A$28,IS!D$2:D$28," ",0,1)/_xlfn.XLOOKUP($A$6,IS!$A$2:$A$28,IS!D$2:D$28," ",0,1)</f>
        <v>1.0504270932775444</v>
      </c>
      <c r="E20" s="15">
        <f>_xlfn.XLOOKUP($A20,IS!$A$2:$A$28,IS!E$2:E$28," ",0,1)/_xlfn.XLOOKUP($A$6,IS!$A$2:$A$28,IS!E$2:E$28," ",0,1)</f>
        <v>1.0894700931099963</v>
      </c>
      <c r="F20" s="15">
        <f>_xlfn.XLOOKUP($A20,IS!$A$2:$A$28,IS!F$2:F$28," ",0,1)/_xlfn.XLOOKUP($A$6,IS!$A$2:$A$28,IS!F$2:F$28," ",0,1)</f>
        <v>1.1365745488601051</v>
      </c>
    </row>
    <row r="21" spans="1:6" ht="16" x14ac:dyDescent="0.35">
      <c r="A21" t="str">
        <f>IS!A21</f>
        <v>V. Profit/(Loss) before exceptional items and tax (III-IV)</v>
      </c>
      <c r="B21" s="15">
        <f>_xlfn.XLOOKUP($A21,IS!$A$2:$A$28,IS!B$2:B$28," ",0,1)/_xlfn.XLOOKUP($A$6,IS!$A$2:$A$28,IS!B$2:B$28," ",0,1)</f>
        <v>7.0060357627537623E-2</v>
      </c>
      <c r="C21" s="15">
        <f>_xlfn.XLOOKUP($A21,IS!$A$2:$A$28,IS!C$2:C$28," ",0,1)/_xlfn.XLOOKUP($A$6,IS!$A$2:$A$28,IS!C$2:C$28," ",0,1)</f>
        <v>2.3383248681173641E-2</v>
      </c>
      <c r="D21" s="15">
        <f>_xlfn.XLOOKUP($A21,IS!$A$2:$A$28,IS!D$2:D$28," ",0,1)/_xlfn.XLOOKUP($A$6,IS!$A$2:$A$28,IS!D$2:D$28," ",0,1)</f>
        <v>-3.6464786491445439E-2</v>
      </c>
      <c r="E21" s="15">
        <f>_xlfn.XLOOKUP($A21,IS!$A$2:$A$28,IS!E$2:E$28," ",0,1)/_xlfn.XLOOKUP($A$6,IS!$A$2:$A$28,IS!E$2:E$28," ",0,1)</f>
        <v>-7.1546774957278597E-2</v>
      </c>
      <c r="F21" s="15">
        <f>_xlfn.XLOOKUP($A21,IS!$A$2:$A$28,IS!F$2:F$28," ",0,1)/_xlfn.XLOOKUP($A$6,IS!$A$2:$A$28,IS!F$2:F$28," ",0,1)</f>
        <v>-0.10509019610878396</v>
      </c>
    </row>
    <row r="22" spans="1:6" ht="16" x14ac:dyDescent="0.35">
      <c r="A22" t="str">
        <f>IS!A22</f>
        <v>VI. Exceptional items (Loss) / Gain (Net)</v>
      </c>
      <c r="B22" s="15">
        <f>_xlfn.XLOOKUP($A22,IS!$A$2:$A$28,IS!B$2:B$28," ",0,1)/_xlfn.XLOOKUP($A$6,IS!$A$2:$A$28,IS!B$2:B$28," ",0,1)</f>
        <v>-3.8312305567515033E-2</v>
      </c>
      <c r="C22" s="15">
        <f>_xlfn.XLOOKUP($A22,IS!$A$2:$A$28,IS!C$2:C$28," ",0,1)/_xlfn.XLOOKUP($A$6,IS!$A$2:$A$28,IS!C$2:C$28," ",0,1)</f>
        <v>4.3009653828706244E-3</v>
      </c>
      <c r="D22" s="15">
        <f>_xlfn.XLOOKUP($A22,IS!$A$2:$A$28,IS!D$2:D$28," ",0,1)/_xlfn.XLOOKUP($A$6,IS!$A$2:$A$28,IS!D$2:D$28," ",0,1)</f>
        <v>-1.7647800594452229E-3</v>
      </c>
      <c r="E22" s="15">
        <f>_xlfn.XLOOKUP($A22,IS!$A$2:$A$28,IS!E$2:E$28," ",0,1)/_xlfn.XLOOKUP($A$6,IS!$A$2:$A$28,IS!E$2:E$28," ",0,1)</f>
        <v>-8.0478028860250382E-4</v>
      </c>
      <c r="F22" s="15">
        <f>_xlfn.XLOOKUP($A22,IS!$A$2:$A$28,IS!F$2:F$28," ",0,1)/_xlfn.XLOOKUP($A$6,IS!$A$2:$A$28,IS!F$2:F$28," ",0,1)</f>
        <v>5.7159676808753931E-2</v>
      </c>
    </row>
    <row r="23" spans="1:6" ht="16" x14ac:dyDescent="0.35">
      <c r="A23" t="str">
        <f>IS!A23</f>
        <v>VII. Profit/(Loss) before tax</v>
      </c>
      <c r="B23" s="15">
        <f>_xlfn.XLOOKUP($A23,IS!$A$2:$A$28,IS!B$2:B$28," ",0,1)/_xlfn.XLOOKUP($A$6,IS!$A$2:$A$28,IS!B$2:B$28," ",0,1)</f>
        <v>0.10710082032023756</v>
      </c>
      <c r="C23" s="15">
        <f>_xlfn.XLOOKUP($A23,IS!$A$2:$A$28,IS!C$2:C$28," ",0,1)/_xlfn.XLOOKUP($A$6,IS!$A$2:$A$28,IS!C$2:C$28," ",0,1)</f>
        <v>1.9082283298303016E-2</v>
      </c>
      <c r="D23" s="15">
        <f>_xlfn.XLOOKUP($A23,IS!$A$2:$A$28,IS!D$2:D$28," ",0,1)/_xlfn.XLOOKUP($A$6,IS!$A$2:$A$28,IS!D$2:D$28," ",0,1)</f>
        <v>-2.6395320889105546E-2</v>
      </c>
      <c r="E23" s="15">
        <f>_xlfn.XLOOKUP($A23,IS!$A$2:$A$28,IS!E$2:E$28," ",0,1)/_xlfn.XLOOKUP($A$6,IS!$A$2:$A$28,IS!E$2:E$28," ",0,1)</f>
        <v>-4.9975473868879711E-2</v>
      </c>
      <c r="F23" s="15">
        <f>_xlfn.XLOOKUP($A23,IS!$A$2:$A$28,IS!F$2:F$28," ",0,1)/_xlfn.XLOOKUP($A$6,IS!$A$2:$A$28,IS!F$2:F$28," ",0,1)</f>
        <v>-0.1622498729175379</v>
      </c>
    </row>
    <row r="24" spans="1:6" ht="16" x14ac:dyDescent="0.35">
      <c r="A24" t="str">
        <f>IS!A24</f>
        <v>VIII. Tax expense / (credit) (net)</v>
      </c>
      <c r="B24" s="15">
        <f>_xlfn.XLOOKUP($A24,IS!$A$2:$A$28,IS!B$2:B$28," ",0,1)/_xlfn.XLOOKUP($A$6,IS!$A$2:$A$28,IS!B$2:B$28," ",0,1)</f>
        <v>-6.9928848828725877E-4</v>
      </c>
      <c r="C24" s="15">
        <f>_xlfn.XLOOKUP($A24,IS!$A$2:$A$28,IS!C$2:C$28," ",0,1)/_xlfn.XLOOKUP($A$6,IS!$A$2:$A$28,IS!C$2:C$28," ",0,1)</f>
        <v>-2.240556299959259E-2</v>
      </c>
      <c r="D24" s="15">
        <f>_xlfn.XLOOKUP($A24,IS!$A$2:$A$28,IS!D$2:D$28," ",0,1)/_xlfn.XLOOKUP($A$6,IS!$A$2:$A$28,IS!D$2:D$28," ",0,1)</f>
        <v>3.0323495758265121E-3</v>
      </c>
      <c r="E24" s="15">
        <f>_xlfn.XLOOKUP($A24,IS!$A$2:$A$28,IS!E$2:E$28," ",0,1)/_xlfn.XLOOKUP($A$6,IS!$A$2:$A$28,IS!E$2:E$28," ",0,1)</f>
        <v>1.7620116913207263E-3</v>
      </c>
      <c r="F24" s="15">
        <f>_xlfn.XLOOKUP($A24,IS!$A$2:$A$28,IS!F$2:F$28," ",0,1)/_xlfn.XLOOKUP($A$6,IS!$A$2:$A$28,IS!F$2:F$28," ",0,1)</f>
        <v>3.6944402646411174E-3</v>
      </c>
    </row>
    <row r="25" spans="1:6" ht="16" x14ac:dyDescent="0.35">
      <c r="A25" t="str">
        <f>IS!A25</f>
        <v>IX. Profit/(Loss) for the year (PAT)</v>
      </c>
      <c r="B25" s="15">
        <f>_xlfn.XLOOKUP($A25,IS!$A$2:$A$28,IS!B$2:B$28," ",0,1)/_xlfn.XLOOKUP($A$6,IS!$A$2:$A$28,IS!B$2:B$28," ",0,1)</f>
        <v>0.10780010880852482</v>
      </c>
      <c r="C25" s="15">
        <f>_xlfn.XLOOKUP($A25,IS!$A$2:$A$28,IS!C$2:C$28," ",0,1)/_xlfn.XLOOKUP($A$6,IS!$A$2:$A$28,IS!C$2:C$28," ",0,1)</f>
        <v>4.1487846297895613E-2</v>
      </c>
      <c r="D25" s="15">
        <f>_xlfn.XLOOKUP($A25,IS!$A$2:$A$28,IS!D$2:D$28," ",0,1)/_xlfn.XLOOKUP($A$6,IS!$A$2:$A$28,IS!D$2:D$28," ",0,1)</f>
        <v>-2.9427670464932054E-2</v>
      </c>
      <c r="E25" s="15">
        <f>_xlfn.XLOOKUP($A25,IS!$A$2:$A$28,IS!E$2:E$28," ",0,1)/_xlfn.XLOOKUP($A$6,IS!$A$2:$A$28,IS!E$2:E$28," ",0,1)</f>
        <v>-5.0932705271597933E-2</v>
      </c>
      <c r="F25" s="15">
        <f>_xlfn.XLOOKUP($A25,IS!$A$2:$A$28,IS!F$2:F$28," ",0,1)/_xlfn.XLOOKUP($A$6,IS!$A$2:$A$28,IS!F$2:F$28," ",0,1)</f>
        <v>-0.165944313182179</v>
      </c>
    </row>
    <row r="26" spans="1:6" ht="16" x14ac:dyDescent="0.35">
      <c r="A26" t="str">
        <f>IS!A26</f>
        <v>X. Other comprehensive income/(loss) (net of tax)</v>
      </c>
      <c r="B26" s="15">
        <f>_xlfn.XLOOKUP($A26,IS!$A$2:$A$28,IS!B$2:B$28," ",0,1)/_xlfn.XLOOKUP($A$6,IS!$A$2:$A$28,IS!B$2:B$28," ",0,1)</f>
        <v>5.9555478432829836E-3</v>
      </c>
      <c r="C26" s="15">
        <f>_xlfn.XLOOKUP($A26,IS!$A$2:$A$28,IS!C$2:C$28," ",0,1)/_xlfn.XLOOKUP($A$6,IS!$A$2:$A$28,IS!C$2:C$28," ",0,1)</f>
        <v>-4.204702350293116E-3</v>
      </c>
      <c r="D26" s="15">
        <f>_xlfn.XLOOKUP($A26,IS!$A$2:$A$28,IS!D$2:D$28," ",0,1)/_xlfn.XLOOKUP($A$6,IS!$A$2:$A$28,IS!D$2:D$28," ",0,1)</f>
        <v>2.6168085091977603E-3</v>
      </c>
      <c r="E26" s="15">
        <f>_xlfn.XLOOKUP($A26,IS!$A$2:$A$28,IS!E$2:E$28," ",0,1)/_xlfn.XLOOKUP($A$6,IS!$A$2:$A$28,IS!E$2:E$28," ",0,1)</f>
        <v>9.4190124187060274E-3</v>
      </c>
      <c r="F26" s="15">
        <f>_xlfn.XLOOKUP($A26,IS!$A$2:$A$28,IS!F$2:F$28," ",0,1)/_xlfn.XLOOKUP($A$6,IS!$A$2:$A$28,IS!F$2:F$28," ",0,1)</f>
        <v>-8.6213470763749096E-3</v>
      </c>
    </row>
    <row r="27" spans="1:6" ht="16" x14ac:dyDescent="0.35">
      <c r="A27" t="str">
        <f>IS!A27</f>
        <v>XI. Total comprehensive income/(loss) for the year</v>
      </c>
      <c r="B27" s="15">
        <f>_xlfn.XLOOKUP($A27,IS!$A$2:$A$28,IS!B$2:B$28," ",0,1)/_xlfn.XLOOKUP($A$6,IS!$A$2:$A$28,IS!B$2:B$28," ",0,1)</f>
        <v>0.1137556566518078</v>
      </c>
      <c r="C27" s="15">
        <f>_xlfn.XLOOKUP($A27,IS!$A$2:$A$28,IS!C$2:C$28," ",0,1)/_xlfn.XLOOKUP($A$6,IS!$A$2:$A$28,IS!C$2:C$28," ",0,1)</f>
        <v>3.7283143947602494E-2</v>
      </c>
      <c r="D27" s="15">
        <f>_xlfn.XLOOKUP($A27,IS!$A$2:$A$28,IS!D$2:D$28," ",0,1)/_xlfn.XLOOKUP($A$6,IS!$A$2:$A$28,IS!D$2:D$28," ",0,1)</f>
        <v>-2.6810861955734299E-2</v>
      </c>
      <c r="E27" s="15">
        <f>_xlfn.XLOOKUP($A27,IS!$A$2:$A$28,IS!E$2:E$28," ",0,1)/_xlfn.XLOOKUP($A$6,IS!$A$2:$A$28,IS!E$2:E$28," ",0,1)</f>
        <v>-4.1513692852891901E-2</v>
      </c>
      <c r="F27" s="15">
        <f>_xlfn.XLOOKUP($A27,IS!$A$2:$A$28,IS!F$2:F$28," ",0,1)/_xlfn.XLOOKUP($A$6,IS!$A$2:$A$28,IS!F$2:F$28," ",0,1)</f>
        <v>-0.17456566025855391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17F8-8A41-4515-80DA-180DC6247A82}">
  <dimension ref="A1:F36"/>
  <sheetViews>
    <sheetView workbookViewId="0">
      <selection activeCell="B7" sqref="B7"/>
    </sheetView>
  </sheetViews>
  <sheetFormatPr defaultRowHeight="14.5" x14ac:dyDescent="0.35"/>
  <cols>
    <col min="1" max="1" width="66.453125" customWidth="1"/>
    <col min="2" max="2" width="20.81640625" customWidth="1"/>
    <col min="3" max="3" width="14.1796875" customWidth="1"/>
    <col min="4" max="4" width="14.90625" customWidth="1"/>
    <col min="5" max="5" width="13.81640625" customWidth="1"/>
    <col min="6" max="6" width="13.54296875" customWidth="1"/>
  </cols>
  <sheetData>
    <row r="1" spans="1:6" x14ac:dyDescent="0.35">
      <c r="A1" s="1" t="str">
        <f>BS!A1</f>
        <v>Balance Sheet of Tata Motors from FY2020 TO FY2024</v>
      </c>
    </row>
    <row r="2" spans="1:6" x14ac:dyDescent="0.35">
      <c r="A2" s="1" t="str">
        <f>BS!A2</f>
        <v>Particulars</v>
      </c>
      <c r="B2" s="1" t="str">
        <f>BS!B2</f>
        <v>FY2024</v>
      </c>
      <c r="C2" s="1" t="str">
        <f>BS!C2</f>
        <v>FY2023</v>
      </c>
      <c r="D2" s="1" t="str">
        <f>BS!D2</f>
        <v>FY2022</v>
      </c>
      <c r="E2" s="1" t="str">
        <f>BS!E2</f>
        <v>FY2021</v>
      </c>
      <c r="F2" s="1" t="str">
        <f>BS!F2</f>
        <v>FY2020</v>
      </c>
    </row>
    <row r="3" spans="1:6" x14ac:dyDescent="0.35">
      <c r="A3" t="str">
        <f>BS!A3</f>
        <v>I. ASSETS</v>
      </c>
    </row>
    <row r="4" spans="1:6" ht="16" x14ac:dyDescent="0.35">
      <c r="A4" t="str">
        <f>BS!A4</f>
        <v>(1) NON-CURRENT ASSETS</v>
      </c>
      <c r="B4" s="15">
        <f>_xlfn.XLOOKUP($A4,BS!$A$1:$A$36,BS!B$1:B$36,,0,1)/_xlfn.XLOOKUP($A$20,BS!$A$1:$A$36,BS!B$1:B$36,,0,1)</f>
        <v>0.49913236029495045</v>
      </c>
      <c r="C4" s="15">
        <f>_xlfn.XLOOKUP($A4,BS!$A$1:$A$36,BS!C$1:C$36,,0,1)/_xlfn.XLOOKUP($A$20,BS!$A$1:$A$36,BS!C$1:C$36,,0,1)</f>
        <v>0.55165471116829712</v>
      </c>
      <c r="D4" s="15">
        <f>_xlfn.XLOOKUP($A4,BS!$A$1:$A$36,BS!D$1:D$36,,0,1)/_xlfn.XLOOKUP($A$20,BS!$A$1:$A$36,BS!D$1:D$36,,0,1)</f>
        <v>0.53607464465952515</v>
      </c>
      <c r="E4" s="15">
        <f>_xlfn.XLOOKUP($A4,BS!$A$1:$A$36,BS!E$1:E$36,,0,1)/_xlfn.XLOOKUP($A$20,BS!$A$1:$A$36,BS!E$1:E$36,,0,1)</f>
        <v>0.54473433281594608</v>
      </c>
      <c r="F4" s="15">
        <f>_xlfn.XLOOKUP($A4,BS!$A$1:$A$36,BS!F$1:F$36,,0,1)/_xlfn.XLOOKUP($A$20,BS!$A$1:$A$36,BS!F$1:F$36,,0,1)</f>
        <v>0.85732728802400127</v>
      </c>
    </row>
    <row r="5" spans="1:6" ht="16" x14ac:dyDescent="0.35">
      <c r="A5" t="str">
        <f>BS!A5</f>
        <v>Property, plant and equipment (PPE)</v>
      </c>
      <c r="B5" s="15">
        <f>_xlfn.XLOOKUP($A5,BS!$A$1:$A$36,BS!B$1:B$36,,0,1)/_xlfn.XLOOKUP($A$20,BS!$A$1:$A$36,BS!B$1:B$36,,0,1)</f>
        <v>0.16654151437041212</v>
      </c>
      <c r="C5" s="15">
        <f>_xlfn.XLOOKUP($A5,BS!$A$1:$A$36,BS!C$1:C$36,,0,1)/_xlfn.XLOOKUP($A$20,BS!$A$1:$A$36,BS!C$1:C$36,,0,1)</f>
        <v>0.20318312328266075</v>
      </c>
      <c r="D5" s="15">
        <f>_xlfn.XLOOKUP($A5,BS!$A$1:$A$36,BS!D$1:D$36,,0,1)/_xlfn.XLOOKUP($A$20,BS!$A$1:$A$36,BS!D$1:D$36,,0,1)</f>
        <v>0.20451646249975111</v>
      </c>
      <c r="E5" s="15">
        <f>_xlfn.XLOOKUP($A5,BS!$A$1:$A$36,BS!E$1:E$36,,0,1)/_xlfn.XLOOKUP($A$20,BS!$A$1:$A$36,BS!E$1:E$36,,0,1)</f>
        <v>0.30836449558877732</v>
      </c>
      <c r="F5" s="15">
        <f>_xlfn.XLOOKUP($A5,BS!$A$1:$A$36,BS!F$1:F$36,,0,1)/_xlfn.XLOOKUP($A$20,BS!$A$1:$A$36,BS!F$1:F$36,,0,1)</f>
        <v>0.34245628438505599</v>
      </c>
    </row>
    <row r="6" spans="1:6" ht="16" x14ac:dyDescent="0.35">
      <c r="A6" t="str">
        <f>BS!A6</f>
        <v>Capital work-in-progress (CWIP)</v>
      </c>
      <c r="B6" s="15">
        <f>_xlfn.XLOOKUP($A6,BS!$A$1:$A$36,BS!B$1:B$36,,0,1)/_xlfn.XLOOKUP($A$20,BS!$A$1:$A$36,BS!B$1:B$36,,0,1)</f>
        <v>7.9518674767031627E-3</v>
      </c>
      <c r="C6" s="15">
        <f>_xlfn.XLOOKUP($A6,BS!$A$1:$A$36,BS!C$1:C$36,,0,1)/_xlfn.XLOOKUP($A$20,BS!$A$1:$A$36,BS!C$1:C$36,,0,1)</f>
        <v>9.6055027608415861E-3</v>
      </c>
      <c r="D6" s="15">
        <f>_xlfn.XLOOKUP($A6,BS!$A$1:$A$36,BS!D$1:D$36,,0,1)/_xlfn.XLOOKUP($A$20,BS!$A$1:$A$36,BS!D$1:D$36,,0,1)</f>
        <v>1.0133339797873456E-2</v>
      </c>
      <c r="E6" s="15">
        <f>_xlfn.XLOOKUP($A6,BS!$A$1:$A$36,BS!E$1:E$36,,0,1)/_xlfn.XLOOKUP($A$20,BS!$A$1:$A$36,BS!E$1:E$36,,0,1)</f>
        <v>2.3819541265937362E-2</v>
      </c>
      <c r="F6" s="15">
        <f>_xlfn.XLOOKUP($A6,BS!$A$1:$A$36,BS!F$1:F$36,,0,1)/_xlfn.XLOOKUP($A$20,BS!$A$1:$A$36,BS!F$1:F$36,,0,1)</f>
        <v>3.1858192199895906E-2</v>
      </c>
    </row>
    <row r="7" spans="1:6" ht="16" x14ac:dyDescent="0.35">
      <c r="A7" t="str">
        <f>BS!A7</f>
        <v>Right of use assets (ROU)</v>
      </c>
      <c r="B7" s="15">
        <f>_xlfn.XLOOKUP($A7,BS!$A$1:$A$36,BS!B$1:B$36,,0,1)/_xlfn.XLOOKUP($A$20,BS!$A$1:$A$36,BS!B$1:B$36,,0,1)</f>
        <v>4.6724905306954655E-3</v>
      </c>
      <c r="C7" s="15">
        <f>_xlfn.XLOOKUP($A7,BS!$A$1:$A$36,BS!C$1:C$36,,0,1)/_xlfn.XLOOKUP($A$20,BS!$A$1:$A$36,BS!C$1:C$36,,0,1)</f>
        <v>5.7434448888763548E-3</v>
      </c>
      <c r="D7" s="15">
        <f>_xlfn.XLOOKUP($A7,BS!$A$1:$A$36,BS!D$1:D$36,,0,1)/_xlfn.XLOOKUP($A$20,BS!$A$1:$A$36,BS!D$1:D$36,,0,1)</f>
        <v>5.7566152591429229E-3</v>
      </c>
      <c r="E7" s="15">
        <f>_xlfn.XLOOKUP($A7,BS!$A$1:$A$36,BS!E$1:E$36,,0,1)/_xlfn.XLOOKUP($A$20,BS!$A$1:$A$36,BS!E$1:E$36,,0,1)</f>
        <v>1.7618628676086365E-2</v>
      </c>
      <c r="F7" s="15">
        <f>_xlfn.XLOOKUP($A7,BS!$A$1:$A$36,BS!F$1:F$36,,0,1)/_xlfn.XLOOKUP($A$20,BS!$A$1:$A$36,BS!F$1:F$36,,0,1)</f>
        <v>1.2151231455933775E-2</v>
      </c>
    </row>
    <row r="8" spans="1:6" ht="16" x14ac:dyDescent="0.35">
      <c r="A8" t="str">
        <f>BS!A8</f>
        <v>Goodwill</v>
      </c>
      <c r="B8" s="15">
        <f>_xlfn.XLOOKUP($A8,BS!$A$1:$A$36,BS!B$1:B$36,,0,1)/_xlfn.XLOOKUP($A$20,BS!$A$1:$A$36,BS!B$1:B$36,,0,1)</f>
        <v>1.3688014388369954E-3</v>
      </c>
      <c r="C8" s="15">
        <f>_xlfn.XLOOKUP($A8,BS!$A$1:$A$36,BS!C$1:C$36,,0,1)/_xlfn.XLOOKUP($A$20,BS!$A$1:$A$36,BS!C$1:C$36,,0,1)</f>
        <v>1.6534513481660607E-3</v>
      </c>
      <c r="D8" s="15">
        <f>_xlfn.XLOOKUP($A8,BS!$A$1:$A$36,BS!D$1:D$36,,0,1)/_xlfn.XLOOKUP($A$20,BS!$A$1:$A$36,BS!D$1:D$36,,0,1)</f>
        <v>1.7158159303007137E-3</v>
      </c>
      <c r="E8" s="15">
        <f>_xlfn.XLOOKUP($A8,BS!$A$1:$A$36,BS!E$1:E$36,,0,1)/_xlfn.XLOOKUP($A$20,BS!$A$1:$A$36,BS!E$1:E$36,,0,1)</f>
        <v>1.7824048633084881E-3</v>
      </c>
      <c r="F8" s="15">
        <f>_xlfn.XLOOKUP($A8,BS!$A$1:$A$36,BS!F$1:F$36,,0,1)/_xlfn.XLOOKUP($A$20,BS!$A$1:$A$36,BS!F$1:F$36,,0,1)</f>
        <v>1.7982399787455985E-3</v>
      </c>
    </row>
    <row r="9" spans="1:6" ht="16" x14ac:dyDescent="0.35">
      <c r="A9" t="str">
        <f>BS!A9</f>
        <v>Other intangible assets</v>
      </c>
      <c r="B9" s="15">
        <f>_xlfn.XLOOKUP($A9,BS!$A$1:$A$36,BS!B$1:B$36,,0,1)/_xlfn.XLOOKUP($A$20,BS!$A$1:$A$36,BS!B$1:B$36,,0,1)</f>
        <v>2.4429424327064665E-2</v>
      </c>
      <c r="C9" s="15">
        <f>_xlfn.XLOOKUP($A9,BS!$A$1:$A$36,BS!C$1:C$36,,0,1)/_xlfn.XLOOKUP($A$20,BS!$A$1:$A$36,BS!C$1:C$36,,0,1)</f>
        <v>3.1950373432379109E-2</v>
      </c>
      <c r="D9" s="15">
        <f>_xlfn.XLOOKUP($A9,BS!$A$1:$A$36,BS!D$1:D$36,,0,1)/_xlfn.XLOOKUP($A$20,BS!$A$1:$A$36,BS!D$1:D$36,,0,1)</f>
        <v>3.4802371216404233E-2</v>
      </c>
      <c r="E9" s="15">
        <f>_xlfn.XLOOKUP($A9,BS!$A$1:$A$36,BS!E$1:E$36,,0,1)/_xlfn.XLOOKUP($A$20,BS!$A$1:$A$36,BS!E$1:E$36,,0,1)</f>
        <v>0.11074258235190741</v>
      </c>
      <c r="F9" s="15">
        <f>_xlfn.XLOOKUP($A9,BS!$A$1:$A$36,BS!F$1:F$36,,0,1)/_xlfn.XLOOKUP($A$20,BS!$A$1:$A$36,BS!F$1:F$36,,0,1)</f>
        <v>0.10105713064125431</v>
      </c>
    </row>
    <row r="10" spans="1:6" ht="16" x14ac:dyDescent="0.35">
      <c r="A10" t="str">
        <f>BS!A10</f>
        <v>Intangible assets under development</v>
      </c>
      <c r="B10" s="15">
        <f>_xlfn.XLOOKUP($A10,BS!$A$1:$A$36,BS!B$1:B$36,,0,1)/_xlfn.XLOOKUP($A$20,BS!$A$1:$A$36,BS!B$1:B$36,,0,1)</f>
        <v>7.0353272055674815E-3</v>
      </c>
      <c r="C10" s="15">
        <f>_xlfn.XLOOKUP($A10,BS!$A$1:$A$36,BS!C$1:C$36,,0,1)/_xlfn.XLOOKUP($A$20,BS!$A$1:$A$36,BS!C$1:C$36,,0,1)</f>
        <v>8.4983628178522015E-3</v>
      </c>
      <c r="D10" s="15">
        <f>_xlfn.XLOOKUP($A10,BS!$A$1:$A$36,BS!D$1:D$36,,0,1)/_xlfn.XLOOKUP($A$20,BS!$A$1:$A$36,BS!D$1:D$36,,0,1)</f>
        <v>1.5272995509164784E-2</v>
      </c>
      <c r="E10" s="15">
        <f>_xlfn.XLOOKUP($A10,BS!$A$1:$A$36,BS!E$1:E$36,,0,1)/_xlfn.XLOOKUP($A$20,BS!$A$1:$A$36,BS!E$1:E$36,,0,1)</f>
        <v>2.8856467391920233E-2</v>
      </c>
      <c r="F10" s="15">
        <f>_xlfn.XLOOKUP($A10,BS!$A$1:$A$36,BS!F$1:F$36,,0,1)/_xlfn.XLOOKUP($A$20,BS!$A$1:$A$36,BS!F$1:F$36,,0,1)</f>
        <v>4.9711381485296503E-2</v>
      </c>
    </row>
    <row r="11" spans="1:6" ht="16" x14ac:dyDescent="0.35">
      <c r="A11" t="str">
        <f>BS!A11</f>
        <v>Investments in subsidiaries, JVs &amp; associates</v>
      </c>
      <c r="B11" s="15">
        <f>_xlfn.XLOOKUP($A11,BS!$A$1:$A$36,BS!B$1:B$36,,0,1)/_xlfn.XLOOKUP($A$20,BS!$A$1:$A$36,BS!B$1:B$36,,0,1)</f>
        <v>0.35666111355153485</v>
      </c>
      <c r="C11" s="15">
        <f>_xlfn.XLOOKUP($A11,BS!$A$1:$A$36,BS!C$1:C$36,,0,1)/_xlfn.XLOOKUP($A$20,BS!$A$1:$A$36,BS!C$1:C$36,,0,1)</f>
        <v>0.46683093831236494</v>
      </c>
      <c r="D11" s="15">
        <f>_xlfn.XLOOKUP($A11,BS!$A$1:$A$36,BS!D$1:D$36,,0,1)/_xlfn.XLOOKUP($A$20,BS!$A$1:$A$36,BS!D$1:D$36,,0,1)</f>
        <v>0.42810274116702846</v>
      </c>
      <c r="E11" s="15">
        <f>_xlfn.XLOOKUP($A11,BS!$A$1:$A$36,BS!E$1:E$36,,0,1)/_xlfn.XLOOKUP($A$20,BS!$A$1:$A$36,BS!E$1:E$36,,0,1)</f>
        <v>0.25700518928225868</v>
      </c>
      <c r="F11" s="15">
        <f>_xlfn.XLOOKUP($A11,BS!$A$1:$A$36,BS!F$1:F$36,,0,1)/_xlfn.XLOOKUP($A$20,BS!$A$1:$A$36,BS!F$1:F$36,,0,1)</f>
        <v>0.27552125186103049</v>
      </c>
    </row>
    <row r="12" spans="1:6" ht="16" x14ac:dyDescent="0.35">
      <c r="A12" t="str">
        <f>BS!A12</f>
        <v>Financial assets (Investments, Loans, Others)</v>
      </c>
      <c r="B12" s="15">
        <f>_xlfn.XLOOKUP($A12,BS!$A$1:$A$36,BS!B$1:B$36,,0,1)/_xlfn.XLOOKUP($A$20,BS!$A$1:$A$36,BS!B$1:B$36,,0,1)</f>
        <v>-1.7729494224483989E-2</v>
      </c>
      <c r="C12" s="15">
        <f>_xlfn.XLOOKUP($A12,BS!$A$1:$A$36,BS!C$1:C$36,,0,1)/_xlfn.XLOOKUP($A$20,BS!$A$1:$A$36,BS!C$1:C$36,,0,1)</f>
        <v>-2.3396945628666097E-2</v>
      </c>
      <c r="D12" s="15">
        <f>_xlfn.XLOOKUP($A12,BS!$A$1:$A$36,BS!D$1:D$36,,0,1)/_xlfn.XLOOKUP($A$20,BS!$A$1:$A$36,BS!D$1:D$36,,0,1)</f>
        <v>-2.6104678797491645E-2</v>
      </c>
      <c r="E12" s="15">
        <f>_xlfn.XLOOKUP($A12,BS!$A$1:$A$36,BS!E$1:E$36,,0,1)/_xlfn.XLOOKUP($A$20,BS!$A$1:$A$36,BS!E$1:E$36,,0,1)</f>
        <v>3.0417443212264472E-2</v>
      </c>
      <c r="F12" s="15">
        <f>_xlfn.XLOOKUP($A12,BS!$A$1:$A$36,BS!F$1:F$36,,0,1)/_xlfn.XLOOKUP($A$20,BS!$A$1:$A$36,BS!F$1:F$36,,0,1)</f>
        <v>4.0006801698900335E-2</v>
      </c>
    </row>
    <row r="13" spans="1:6" ht="16" x14ac:dyDescent="0.35">
      <c r="A13" t="str">
        <f>BS!A13</f>
        <v>Non-current tax assets (Net)</v>
      </c>
      <c r="B13" s="15">
        <f>_xlfn.XLOOKUP($A13,BS!$A$1:$A$36,BS!B$1:B$36,,0,1)/_xlfn.XLOOKUP($A$20,BS!$A$1:$A$36,BS!B$1:B$36,,0,1)</f>
        <v>2.4194452962904636E-2</v>
      </c>
      <c r="C13" s="15">
        <f>_xlfn.XLOOKUP($A13,BS!$A$1:$A$36,BS!C$1:C$36,,0,1)/_xlfn.XLOOKUP($A$20,BS!$A$1:$A$36,BS!C$1:C$36,,0,1)</f>
        <v>3.1867609089994371E-2</v>
      </c>
      <c r="D13" s="15">
        <f>_xlfn.XLOOKUP($A13,BS!$A$1:$A$36,BS!D$1:D$36,,0,1)/_xlfn.XLOOKUP($A$20,BS!$A$1:$A$36,BS!D$1:D$36,,0,1)</f>
        <v>3.1984928386459444E-2</v>
      </c>
      <c r="E13" s="15">
        <f>_xlfn.XLOOKUP($A13,BS!$A$1:$A$36,BS!E$1:E$36,,0,1)/_xlfn.XLOOKUP($A$20,BS!$A$1:$A$36,BS!E$1:E$36,,0,1)</f>
        <v>1.3329272901492136E-2</v>
      </c>
      <c r="F13" s="15">
        <f>_xlfn.XLOOKUP($A13,BS!$A$1:$A$36,BS!F$1:F$36,,0,1)/_xlfn.XLOOKUP($A$20,BS!$A$1:$A$36,BS!F$1:F$36,,0,1)</f>
        <v>1.3210866458042521E-2</v>
      </c>
    </row>
    <row r="14" spans="1:6" ht="16" x14ac:dyDescent="0.35">
      <c r="A14" t="str">
        <f>BS!A14</f>
        <v>Other non-current assets</v>
      </c>
      <c r="B14" s="15">
        <f>_xlfn.XLOOKUP($A14,BS!$A$1:$A$36,BS!B$1:B$36,,0,1)/_xlfn.XLOOKUP($A$20,BS!$A$1:$A$36,BS!B$1:B$36,,0,1)</f>
        <v>-1.7985186167494109E-2</v>
      </c>
      <c r="C14" s="15">
        <f>_xlfn.XLOOKUP($A14,BS!$A$1:$A$36,BS!C$1:C$36,,0,1)/_xlfn.XLOOKUP($A$20,BS!$A$1:$A$36,BS!C$1:C$36,,0,1)</f>
        <v>-2.4018679378112737E-2</v>
      </c>
      <c r="D14" s="15">
        <f>_xlfn.XLOOKUP($A14,BS!$A$1:$A$36,BS!D$1:D$36,,0,1)/_xlfn.XLOOKUP($A$20,BS!$A$1:$A$36,BS!D$1:D$36,,0,1)</f>
        <v>-3.5660885232190985E-2</v>
      </c>
      <c r="E14" s="15">
        <f>_xlfn.XLOOKUP($A14,BS!$A$1:$A$36,BS!E$1:E$36,,0,1)/_xlfn.XLOOKUP($A$20,BS!$A$1:$A$36,BS!E$1:E$36,,0,1)</f>
        <v>1.9008900871919577E-2</v>
      </c>
      <c r="F14" s="15">
        <f>_xlfn.XLOOKUP($A14,BS!$A$1:$A$36,BS!F$1:F$36,,0,1)/_xlfn.XLOOKUP($A$20,BS!$A$1:$A$36,BS!F$1:F$36,,0,1)</f>
        <v>2.1923683050993868E-2</v>
      </c>
    </row>
    <row r="15" spans="1:6" ht="16" x14ac:dyDescent="0.35">
      <c r="A15" t="str">
        <f>BS!A15</f>
        <v>(2) CURRENT ASSETS</v>
      </c>
      <c r="B15" s="15">
        <f>_xlfn.XLOOKUP($A15,BS!$A$1:$A$36,BS!B$1:B$36,,0,1)/_xlfn.XLOOKUP($A$20,BS!$A$1:$A$36,BS!B$1:B$36,,0,1)</f>
        <v>0.50086763970504944</v>
      </c>
      <c r="C15" s="15">
        <f>_xlfn.XLOOKUP($A15,BS!$A$1:$A$36,BS!C$1:C$36,,0,1)/_xlfn.XLOOKUP($A$20,BS!$A$1:$A$36,BS!C$1:C$36,,0,1)</f>
        <v>0.44834528883170288</v>
      </c>
      <c r="D15" s="15">
        <f>_xlfn.XLOOKUP($A15,BS!$A$1:$A$36,BS!D$1:D$36,,0,1)/_xlfn.XLOOKUP($A$20,BS!$A$1:$A$36,BS!D$1:D$36,,0,1)</f>
        <v>0.46392535534047497</v>
      </c>
      <c r="E15" s="15">
        <f>_xlfn.XLOOKUP($A15,BS!$A$1:$A$36,BS!E$1:E$36,,0,1)/_xlfn.XLOOKUP($A$20,BS!$A$1:$A$36,BS!E$1:E$36,,0,1)</f>
        <v>0.45526566718405392</v>
      </c>
      <c r="F15" s="15">
        <f>_xlfn.XLOOKUP($A15,BS!$A$1:$A$36,BS!F$1:F$36,,0,1)/_xlfn.XLOOKUP($A$20,BS!$A$1:$A$36,BS!F$1:F$36,,0,1)</f>
        <v>0.14267271197599879</v>
      </c>
    </row>
    <row r="16" spans="1:6" ht="16" x14ac:dyDescent="0.35">
      <c r="A16" t="str">
        <f>BS!A16</f>
        <v>Inventories</v>
      </c>
      <c r="B16" s="15">
        <f>_xlfn.XLOOKUP($A16,BS!$A$1:$A$36,BS!B$1:B$36,,0,1)/_xlfn.XLOOKUP($A$20,BS!$A$1:$A$36,BS!B$1:B$36,,0,1)</f>
        <v>0.11393251721880103</v>
      </c>
      <c r="C16" s="15">
        <f>_xlfn.XLOOKUP($A16,BS!$A$1:$A$36,BS!C$1:C$36,,0,1)/_xlfn.XLOOKUP($A$20,BS!$A$1:$A$36,BS!C$1:C$36,,0,1)</f>
        <v>9.2028942824022825E-2</v>
      </c>
      <c r="D16" s="15">
        <f>_xlfn.XLOOKUP($A16,BS!$A$1:$A$36,BS!D$1:D$36,,0,1)/_xlfn.XLOOKUP($A$20,BS!$A$1:$A$36,BS!D$1:D$36,,0,1)</f>
        <v>9.261977508595097E-2</v>
      </c>
      <c r="E16" s="15">
        <f>_xlfn.XLOOKUP($A16,BS!$A$1:$A$36,BS!E$1:E$36,,0,1)/_xlfn.XLOOKUP($A$20,BS!$A$1:$A$36,BS!E$1:E$36,,0,1)</f>
        <v>9.146224652805196E-2</v>
      </c>
      <c r="F16" s="15">
        <f>_xlfn.XLOOKUP($A16,BS!$A$1:$A$36,BS!F$1:F$36,,0,1)/_xlfn.XLOOKUP($A$20,BS!$A$1:$A$36,BS!F$1:F$36,,0,1)</f>
        <v>0.12076989859879196</v>
      </c>
    </row>
    <row r="17" spans="1:6" ht="16" x14ac:dyDescent="0.35">
      <c r="A17" t="str">
        <f>BS!A17</f>
        <v>Financial assets (Investments, Trade receivables, Cash &amp; Bank, Loans, Others)</v>
      </c>
      <c r="B17" s="15">
        <f>_xlfn.XLOOKUP($A17,BS!$A$1:$A$36,BS!B$1:B$36,,0,1)/_xlfn.XLOOKUP($A$20,BS!$A$1:$A$36,BS!B$1:B$36,,0,1)</f>
        <v>0.37047414209896701</v>
      </c>
      <c r="C17" s="15">
        <f>_xlfn.XLOOKUP($A17,BS!$A$1:$A$36,BS!C$1:C$36,,0,1)/_xlfn.XLOOKUP($A$20,BS!$A$1:$A$36,BS!C$1:C$36,,0,1)</f>
        <v>0.34043109876839645</v>
      </c>
      <c r="D17" s="15">
        <f>_xlfn.XLOOKUP($A17,BS!$A$1:$A$36,BS!D$1:D$36,,0,1)/_xlfn.XLOOKUP($A$20,BS!$A$1:$A$36,BS!D$1:D$36,,0,1)</f>
        <v>0.35825973425545382</v>
      </c>
      <c r="E17" s="15">
        <f>_xlfn.XLOOKUP($A17,BS!$A$1:$A$36,BS!E$1:E$36,,0,1)/_xlfn.XLOOKUP($A$20,BS!$A$1:$A$36,BS!E$1:E$36,,0,1)</f>
        <v>0.34729607437425614</v>
      </c>
      <c r="F17" s="15">
        <f>_xlfn.XLOOKUP($A17,BS!$A$1:$A$36,BS!F$1:F$36,,0,1)/_xlfn.XLOOKUP($A$20,BS!$A$1:$A$36,BS!F$1:F$36,,0,1)</f>
        <v>1.6581046561512547E-2</v>
      </c>
    </row>
    <row r="18" spans="1:6" ht="16" x14ac:dyDescent="0.35">
      <c r="A18" t="str">
        <f>BS!A18</f>
        <v>Current tax assets (Net)</v>
      </c>
      <c r="B18" s="15">
        <f>_xlfn.XLOOKUP($A18,BS!$A$1:$A$36,BS!B$1:B$36,,0,1)/_xlfn.XLOOKUP($A$20,BS!$A$1:$A$36,BS!B$1:B$36,,0,1)</f>
        <v>1.5023801038239139E-3</v>
      </c>
      <c r="C18" s="15">
        <f>_xlfn.XLOOKUP($A18,BS!$A$1:$A$36,BS!C$1:C$36,,0,1)/_xlfn.XLOOKUP($A$20,BS!$A$1:$A$36,BS!C$1:C$36,,0,1)</f>
        <v>1.6434395325550036E-3</v>
      </c>
      <c r="D18" s="15">
        <f>_xlfn.XLOOKUP($A18,BS!$A$1:$A$36,BS!D$1:D$36,,0,1)/_xlfn.XLOOKUP($A$20,BS!$A$1:$A$36,BS!D$1:D$36,,0,1)</f>
        <v>4.7791421612977799E-4</v>
      </c>
      <c r="E18" s="15">
        <f>_xlfn.XLOOKUP($A18,BS!$A$1:$A$36,BS!E$1:E$36,,0,1)/_xlfn.XLOOKUP($A$20,BS!$A$1:$A$36,BS!E$1:E$36,,0,1)</f>
        <v>7.8966165606259584E-5</v>
      </c>
      <c r="F18" s="15">
        <f>_xlfn.XLOOKUP($A18,BS!$A$1:$A$36,BS!F$1:F$36,,0,1)/_xlfn.XLOOKUP($A$20,BS!$A$1:$A$36,BS!F$1:F$36,,0,1)</f>
        <v>1.8601230984097673E-3</v>
      </c>
    </row>
    <row r="19" spans="1:6" ht="16" x14ac:dyDescent="0.35">
      <c r="A19" t="str">
        <f>BS!A19</f>
        <v>Assets classified as held-for-sale</v>
      </c>
      <c r="B19" s="15">
        <f>_xlfn.XLOOKUP($A19,BS!$A$1:$A$36,BS!B$1:B$36,,0,1)/_xlfn.XLOOKUP($A$20,BS!$A$1:$A$36,BS!B$1:B$36,,0,1)</f>
        <v>8.9678665263192789E-4</v>
      </c>
      <c r="C19" s="15">
        <f>_xlfn.XLOOKUP($A19,BS!$A$1:$A$36,BS!C$1:C$36,,0,1)/_xlfn.XLOOKUP($A$20,BS!$A$1:$A$36,BS!C$1:C$36,,0,1)</f>
        <v>1.3812634544201247E-2</v>
      </c>
      <c r="D19" s="15">
        <f>_xlfn.XLOOKUP($A19,BS!$A$1:$A$36,BS!D$1:D$36,,0,1)/_xlfn.XLOOKUP($A$20,BS!$A$1:$A$36,BS!D$1:D$36,,0,1)</f>
        <v>1.2567931782940366E-2</v>
      </c>
      <c r="E19" s="15">
        <f>_xlfn.XLOOKUP($A19,BS!$A$1:$A$36,BS!E$1:E$36,,0,1)/_xlfn.XLOOKUP($A$20,BS!$A$1:$A$36,BS!E$1:E$36,,0,1)</f>
        <v>1.6428380116139622E-2</v>
      </c>
      <c r="F19" s="15">
        <f>_xlfn.XLOOKUP($A19,BS!$A$1:$A$36,BS!F$1:F$36,,0,1)/_xlfn.XLOOKUP($A$20,BS!$A$1:$A$36,BS!F$1:F$36,,0,1)</f>
        <v>3.4616437172845182E-3</v>
      </c>
    </row>
    <row r="20" spans="1:6" ht="16" x14ac:dyDescent="0.35">
      <c r="A20" t="str">
        <f>BS!A20</f>
        <v>TOTAL ASSETS (1) + (2)</v>
      </c>
      <c r="B20" s="15">
        <f>_xlfn.XLOOKUP($A20,BS!$A$1:$A$36,BS!B$1:B$36,,0,1)/_xlfn.XLOOKUP($A$20,BS!$A$1:$A$36,BS!B$1:B$36,,0,1)</f>
        <v>1</v>
      </c>
      <c r="C20" s="15">
        <f>_xlfn.XLOOKUP($A20,BS!$A$1:$A$36,BS!C$1:C$36,,0,1)/_xlfn.XLOOKUP($A$20,BS!$A$1:$A$36,BS!C$1:C$36,,0,1)</f>
        <v>1</v>
      </c>
      <c r="D20" s="15">
        <f>_xlfn.XLOOKUP($A20,BS!$A$1:$A$36,BS!D$1:D$36,,0,1)/_xlfn.XLOOKUP($A$20,BS!$A$1:$A$36,BS!D$1:D$36,,0,1)</f>
        <v>1</v>
      </c>
      <c r="E20" s="15">
        <f>_xlfn.XLOOKUP($A20,BS!$A$1:$A$36,BS!E$1:E$36,,0,1)/_xlfn.XLOOKUP($A$20,BS!$A$1:$A$36,BS!E$1:E$36,,0,1)</f>
        <v>1</v>
      </c>
      <c r="F20" s="15">
        <f>_xlfn.XLOOKUP($A20,BS!$A$1:$A$36,BS!F$1:F$36,,0,1)/_xlfn.XLOOKUP($A$20,BS!$A$1:$A$36,BS!F$1:F$36,,0,1)</f>
        <v>1</v>
      </c>
    </row>
    <row r="21" spans="1:6" ht="16" x14ac:dyDescent="0.35">
      <c r="B21" s="15"/>
      <c r="C21" s="15"/>
      <c r="D21" s="15"/>
      <c r="E21" s="15"/>
      <c r="F21" s="15"/>
    </row>
    <row r="22" spans="1:6" ht="16" x14ac:dyDescent="0.35">
      <c r="A22" t="str">
        <f>BS!A22</f>
        <v>II. EQUITY AND LIABILITIES</v>
      </c>
      <c r="B22" s="15"/>
      <c r="C22" s="15"/>
      <c r="D22" s="15"/>
      <c r="E22" s="15"/>
      <c r="F22" s="15"/>
    </row>
    <row r="23" spans="1:6" ht="16" x14ac:dyDescent="0.35">
      <c r="A23" t="str">
        <f>BS!A23</f>
        <v>(1) EQUITY</v>
      </c>
      <c r="B23" s="15">
        <f>_xlfn.XLOOKUP($A23,BS!$A$1:$A$36,BS!B$1:B$36,,0,1)/_xlfn.XLOOKUP($A$20,BS!$A$1:$A$36,BS!B$1:B$36,,0,1)</f>
        <v>0.47061669968145564</v>
      </c>
      <c r="C23" s="15">
        <f>_xlfn.XLOOKUP($A23,BS!$A$1:$A$36,BS!C$1:C$36,,0,1)/_xlfn.XLOOKUP($A$20,BS!$A$1:$A$36,BS!C$1:C$36,,0,1)</f>
        <v>0.47862569142015771</v>
      </c>
      <c r="D23" s="15">
        <f>_xlfn.XLOOKUP($A23,BS!$A$1:$A$36,BS!D$1:D$36,,0,1)/_xlfn.XLOOKUP($A$20,BS!$A$1:$A$36,BS!D$1:D$36,,0,1)</f>
        <v>0.48113788604343305</v>
      </c>
      <c r="E23" s="15">
        <f>_xlfn.XLOOKUP($A23,BS!$A$1:$A$36,BS!E$1:E$36,,0,1)/_xlfn.XLOOKUP($A$20,BS!$A$1:$A$36,BS!E$1:E$36,,0,1)</f>
        <v>0.48878689442259632</v>
      </c>
      <c r="F23" s="15">
        <f>_xlfn.XLOOKUP($A23,BS!$A$1:$A$36,BS!F$1:F$36,,0,1)/_xlfn.XLOOKUP($A$20,BS!$A$1:$A$36,BS!F$1:F$36,,0,1)</f>
        <v>0.44544794304865648</v>
      </c>
    </row>
    <row r="24" spans="1:6" ht="16" x14ac:dyDescent="0.35">
      <c r="A24" t="str">
        <f>BS!A24</f>
        <v>Equity share capital</v>
      </c>
      <c r="B24" s="15">
        <f>_xlfn.XLOOKUP($A24,BS!$A$1:$A$36,BS!B$1:B$36,,0,1)/_xlfn.XLOOKUP($A$20,BS!$A$1:$A$36,BS!B$1:B$36,,0,1)</f>
        <v>1.0588077655204042E-2</v>
      </c>
      <c r="C24" s="15">
        <f>_xlfn.XLOOKUP($A24,BS!$A$1:$A$36,BS!C$1:C$36,,0,1)/_xlfn.XLOOKUP($A$20,BS!$A$1:$A$36,BS!C$1:C$36,,0,1)</f>
        <v>1.2782084990636449E-2</v>
      </c>
      <c r="D24" s="15">
        <f>_xlfn.XLOOKUP($A24,BS!$A$1:$A$36,BS!D$1:D$36,,0,1)/_xlfn.XLOOKUP($A$20,BS!$A$1:$A$36,BS!D$1:D$36,,0,1)</f>
        <v>1.3261773182951969E-2</v>
      </c>
      <c r="E24" s="15">
        <f>_xlfn.XLOOKUP($A24,BS!$A$1:$A$36,BS!E$1:E$36,,0,1)/_xlfn.XLOOKUP($A$20,BS!$A$1:$A$36,BS!E$1:E$36,,0,1)</f>
        <v>1.3775188902717461E-2</v>
      </c>
      <c r="F24" s="15">
        <f>_xlfn.XLOOKUP($A24,BS!$A$1:$A$36,BS!F$1:F$36,,0,1)/_xlfn.XLOOKUP($A$20,BS!$A$1:$A$36,BS!F$1:F$36,,0,1)</f>
        <v>1.305788267541233E-2</v>
      </c>
    </row>
    <row r="25" spans="1:6" ht="16" x14ac:dyDescent="0.35">
      <c r="A25" t="str">
        <f>BS!A25</f>
        <v>Other equity</v>
      </c>
      <c r="B25" s="15">
        <f>_xlfn.XLOOKUP($A25,BS!$A$1:$A$36,BS!B$1:B$36,,0,1)/_xlfn.XLOOKUP($A$20,BS!$A$1:$A$36,BS!B$1:B$36,,0,1)</f>
        <v>0.46002862202625161</v>
      </c>
      <c r="C25" s="15">
        <f>_xlfn.XLOOKUP($A25,BS!$A$1:$A$36,BS!C$1:C$36,,0,1)/_xlfn.XLOOKUP($A$20,BS!$A$1:$A$36,BS!C$1:C$36,,0,1)</f>
        <v>0.46584360642952122</v>
      </c>
      <c r="D25" s="15">
        <f>_xlfn.XLOOKUP($A25,BS!$A$1:$A$36,BS!D$1:D$36,,0,1)/_xlfn.XLOOKUP($A$20,BS!$A$1:$A$36,BS!D$1:D$36,,0,1)</f>
        <v>0.46787611286048114</v>
      </c>
      <c r="E25" s="15">
        <f>_xlfn.XLOOKUP($A25,BS!$A$1:$A$36,BS!E$1:E$36,,0,1)/_xlfn.XLOOKUP($A$20,BS!$A$1:$A$36,BS!E$1:E$36,,0,1)</f>
        <v>0.47501170551987887</v>
      </c>
      <c r="F25" s="15">
        <f>_xlfn.XLOOKUP($A25,BS!$A$1:$A$36,BS!F$1:F$36,,0,1)/_xlfn.XLOOKUP($A$20,BS!$A$1:$A$36,BS!F$1:F$36,,0,1)</f>
        <v>0.43239006037324412</v>
      </c>
    </row>
    <row r="26" spans="1:6" ht="16" x14ac:dyDescent="0.35">
      <c r="A26" t="str">
        <f>BS!A26</f>
        <v>(2) NON-CURRENT LIABILITIES</v>
      </c>
      <c r="B26" s="15">
        <f>_xlfn.XLOOKUP($A26,BS!$A$1:$A$36,BS!B$1:B$36,,0,1)/_xlfn.XLOOKUP($A$20,BS!$A$1:$A$36,BS!B$1:B$36,,0,1)</f>
        <v>0.19959691567276958</v>
      </c>
      <c r="C26" s="15">
        <f>_xlfn.XLOOKUP($A26,BS!$A$1:$A$36,BS!C$1:C$36,,0,1)/_xlfn.XLOOKUP($A$20,BS!$A$1:$A$36,BS!C$1:C$36,,0,1)</f>
        <v>0.17523530686798869</v>
      </c>
      <c r="D26" s="15">
        <f>_xlfn.XLOOKUP($A26,BS!$A$1:$A$36,BS!D$1:D$36,,0,1)/_xlfn.XLOOKUP($A$20,BS!$A$1:$A$36,BS!D$1:D$36,,0,1)</f>
        <v>0.1634009483826673</v>
      </c>
      <c r="E26" s="15">
        <f>_xlfn.XLOOKUP($A26,BS!$A$1:$A$36,BS!E$1:E$36,,0,1)/_xlfn.XLOOKUP($A$20,BS!$A$1:$A$36,BS!E$1:E$36,,0,1)</f>
        <v>0.18967619015412432</v>
      </c>
      <c r="F26" s="15">
        <f>_xlfn.XLOOKUP($A26,BS!$A$1:$A$36,BS!F$1:F$36,,0,1)/_xlfn.XLOOKUP($A$20,BS!$A$1:$A$36,BS!F$1:F$36,,0,1)</f>
        <v>0.2412439922560807</v>
      </c>
    </row>
    <row r="27" spans="1:6" ht="16" x14ac:dyDescent="0.35">
      <c r="A27" t="str">
        <f>BS!A27</f>
        <v>Financial liabilities (Borrowings &amp; Lease)</v>
      </c>
      <c r="B27" s="15">
        <f>_xlfn.XLOOKUP($A27,BS!$A$1:$A$36,BS!B$1:B$36,,0,1)/_xlfn.XLOOKUP($A$20,BS!$A$1:$A$36,BS!B$1:B$36,,0,1)</f>
        <v>0.16068670761053047</v>
      </c>
      <c r="C27" s="15">
        <f>_xlfn.XLOOKUP($A27,BS!$A$1:$A$36,BS!C$1:C$36,,0,1)/_xlfn.XLOOKUP($A$20,BS!$A$1:$A$36,BS!C$1:C$36,,0,1)</f>
        <v>0.12772590452165297</v>
      </c>
      <c r="D27" s="15">
        <f>_xlfn.XLOOKUP($A27,BS!$A$1:$A$36,BS!D$1:D$36,,0,1)/_xlfn.XLOOKUP($A$20,BS!$A$1:$A$36,BS!D$1:D$36,,0,1)</f>
        <v>0.11360592336576282</v>
      </c>
      <c r="E27" s="15">
        <f>_xlfn.XLOOKUP($A27,BS!$A$1:$A$36,BS!E$1:E$36,,0,1)/_xlfn.XLOOKUP($A$20,BS!$A$1:$A$36,BS!E$1:E$36,,0,1)</f>
        <v>0.13902434154539484</v>
      </c>
      <c r="F27" s="15">
        <f>_xlfn.XLOOKUP($A27,BS!$A$1:$A$36,BS!F$1:F$36,,0,1)/_xlfn.XLOOKUP($A$20,BS!$A$1:$A$36,BS!F$1:F$36,,0,1)</f>
        <v>0.18572811932662456</v>
      </c>
    </row>
    <row r="28" spans="1:6" ht="16" x14ac:dyDescent="0.35">
      <c r="A28" t="str">
        <f>BS!A28</f>
        <v>Provisions</v>
      </c>
      <c r="B28" s="15">
        <f>_xlfn.XLOOKUP($A28,BS!$A$1:$A$36,BS!B$1:B$36,,0,1)/_xlfn.XLOOKUP($A$20,BS!$A$1:$A$36,BS!B$1:B$36,,0,1)</f>
        <v>3.8021985915531867E-2</v>
      </c>
      <c r="C28" s="15">
        <f>_xlfn.XLOOKUP($A28,BS!$A$1:$A$36,BS!C$1:C$36,,0,1)/_xlfn.XLOOKUP($A$20,BS!$A$1:$A$36,BS!C$1:C$36,,0,1)</f>
        <v>4.6505717831327273E-2</v>
      </c>
      <c r="D28" s="15">
        <f>_xlfn.XLOOKUP($A28,BS!$A$1:$A$36,BS!D$1:D$36,,0,1)/_xlfn.XLOOKUP($A$20,BS!$A$1:$A$36,BS!D$1:D$36,,0,1)</f>
        <v>4.8978068759042065E-2</v>
      </c>
      <c r="E28" s="15">
        <f>_xlfn.XLOOKUP($A28,BS!$A$1:$A$36,BS!E$1:E$36,,0,1)/_xlfn.XLOOKUP($A$20,BS!$A$1:$A$36,BS!E$1:E$36,,0,1)</f>
        <v>4.9951765883126831E-2</v>
      </c>
      <c r="F28" s="15">
        <f>_xlfn.XLOOKUP($A28,BS!$A$1:$A$36,BS!F$1:F$36,,0,1)/_xlfn.XLOOKUP($A$20,BS!$A$1:$A$36,BS!F$1:F$36,,0,1)</f>
        <v>5.498959419917436E-2</v>
      </c>
    </row>
    <row r="29" spans="1:6" ht="16" x14ac:dyDescent="0.35">
      <c r="A29" t="str">
        <f>BS!A29</f>
        <v>Deferred tax liabilities (Net)</v>
      </c>
      <c r="B29" s="15">
        <f>_xlfn.XLOOKUP($A29,BS!$A$1:$A$36,BS!B$1:B$36,,0,1)/_xlfn.XLOOKUP($A$20,BS!$A$1:$A$36,BS!B$1:B$36,,0,1)</f>
        <v>-1.0774701002047193E-4</v>
      </c>
      <c r="C29" s="15">
        <f>_xlfn.XLOOKUP($A29,BS!$A$1:$A$36,BS!C$1:C$36,,0,1)/_xlfn.XLOOKUP($A$20,BS!$A$1:$A$36,BS!C$1:C$36,,0,1)</f>
        <v>3.0536037613723795E-5</v>
      </c>
      <c r="D29" s="15">
        <f>_xlfn.XLOOKUP($A29,BS!$A$1:$A$36,BS!D$1:D$36,,0,1)/_xlfn.XLOOKUP($A$20,BS!$A$1:$A$36,BS!D$1:D$36,,0,1)</f>
        <v>3.1860947741985202E-5</v>
      </c>
      <c r="E29" s="15">
        <f>_xlfn.XLOOKUP($A29,BS!$A$1:$A$36,BS!E$1:E$36,,0,1)/_xlfn.XLOOKUP($A$20,BS!$A$1:$A$36,BS!E$1:E$36,,0,1)</f>
        <v>-6.7128435860136712E-3</v>
      </c>
      <c r="F29" s="15">
        <f>_xlfn.XLOOKUP($A29,BS!$A$1:$A$36,BS!F$1:F$36,,0,1)/_xlfn.XLOOKUP($A$20,BS!$A$1:$A$36,BS!F$1:F$36,,0,1)</f>
        <v>1.437285359941986E-4</v>
      </c>
    </row>
    <row r="30" spans="1:6" ht="16" x14ac:dyDescent="0.35">
      <c r="A30" t="str">
        <f>BS!A30</f>
        <v>Other non-current liabilities</v>
      </c>
      <c r="B30" s="15">
        <f>_xlfn.XLOOKUP($A30,BS!$A$1:$A$36,BS!B$1:B$36,,0,1)/_xlfn.XLOOKUP($A$20,BS!$A$1:$A$36,BS!B$1:B$36,,0,1)</f>
        <v>9.9596915672769547E-4</v>
      </c>
      <c r="C30" s="15">
        <f>_xlfn.XLOOKUP($A30,BS!$A$1:$A$36,BS!C$1:C$36,,0,1)/_xlfn.XLOOKUP($A$20,BS!$A$1:$A$36,BS!C$1:C$36,,0,1)</f>
        <v>9.7314847739473861E-4</v>
      </c>
      <c r="D30" s="15">
        <f>_xlfn.XLOOKUP($A30,BS!$A$1:$A$36,BS!D$1:D$36,,0,1)/_xlfn.XLOOKUP($A$20,BS!$A$1:$A$36,BS!D$1:D$36,,0,1)</f>
        <v>7.8509531012043972E-4</v>
      </c>
      <c r="E30" s="15">
        <f>_xlfn.XLOOKUP($A30,BS!$A$1:$A$36,BS!E$1:E$36,,0,1)/_xlfn.XLOOKUP($A$20,BS!$A$1:$A$36,BS!E$1:E$36,,0,1)</f>
        <v>7.4109476605419018E-3</v>
      </c>
      <c r="F30" s="15">
        <f>_xlfn.XLOOKUP($A30,BS!$A$1:$A$36,BS!F$1:F$36,,0,1)/_xlfn.XLOOKUP($A$20,BS!$A$1:$A$36,BS!F$1:F$36,,0,1)</f>
        <v>3.8255019428758917E-4</v>
      </c>
    </row>
    <row r="31" spans="1:6" ht="16" x14ac:dyDescent="0.35">
      <c r="A31" t="str">
        <f>BS!A31</f>
        <v>(3) CURRENT LIABILITIES</v>
      </c>
      <c r="B31" s="15">
        <f>_xlfn.XLOOKUP($A31,BS!$A$1:$A$36,BS!B$1:B$36,,0,1)/_xlfn.XLOOKUP($A$20,BS!$A$1:$A$36,BS!B$1:B$36,,0,1)</f>
        <v>0.32978638464577481</v>
      </c>
      <c r="C31" s="15">
        <f>_xlfn.XLOOKUP($A31,BS!$A$1:$A$36,BS!C$1:C$36,,0,1)/_xlfn.XLOOKUP($A$20,BS!$A$1:$A$36,BS!C$1:C$36,,0,1)</f>
        <v>0.34613900171185363</v>
      </c>
      <c r="D31" s="15">
        <f>_xlfn.XLOOKUP($A31,BS!$A$1:$A$36,BS!D$1:D$36,,0,1)/_xlfn.XLOOKUP($A$20,BS!$A$1:$A$36,BS!D$1:D$36,,0,1)</f>
        <v>0.35546116557389967</v>
      </c>
      <c r="E31" s="15">
        <f>_xlfn.XLOOKUP($A31,BS!$A$1:$A$36,BS!E$1:E$36,,0,1)/_xlfn.XLOOKUP($A$20,BS!$A$1:$A$36,BS!E$1:E$36,,0,1)</f>
        <v>0.32153691542327933</v>
      </c>
      <c r="F31" s="15">
        <f>_xlfn.XLOOKUP($A31,BS!$A$1:$A$36,BS!F$1:F$36,,0,1)/_xlfn.XLOOKUP($A$20,BS!$A$1:$A$36,BS!F$1:F$36,,0,1)</f>
        <v>0.3133080646952629</v>
      </c>
    </row>
    <row r="32" spans="1:6" ht="16" x14ac:dyDescent="0.35">
      <c r="A32" t="str">
        <f>BS!A32</f>
        <v>Financial liabilities (Borrowings, Trade Payables, Others)</v>
      </c>
      <c r="B32" s="15">
        <f>_xlfn.XLOOKUP($A32,BS!$A$1:$A$36,BS!B$1:B$36,,0,1)/_xlfn.XLOOKUP($A$20,BS!$A$1:$A$36,BS!B$1:B$36,,0,1)</f>
        <v>0.30713879196262561</v>
      </c>
      <c r="C32" s="15">
        <f>_xlfn.XLOOKUP($A32,BS!$A$1:$A$36,BS!C$1:C$36,,0,1)/_xlfn.XLOOKUP($A$20,BS!$A$1:$A$36,BS!C$1:C$36,,0,1)</f>
        <v>0.31660548056798365</v>
      </c>
      <c r="D32" s="15">
        <f>_xlfn.XLOOKUP($A32,BS!$A$1:$A$36,BS!D$1:D$36,,0,1)/_xlfn.XLOOKUP($A$20,BS!$A$1:$A$36,BS!D$1:D$36,,0,1)</f>
        <v>0.32749833552521651</v>
      </c>
      <c r="E32" s="15">
        <f>_xlfn.XLOOKUP($A32,BS!$A$1:$A$36,BS!E$1:E$36,,0,1)/_xlfn.XLOOKUP($A$20,BS!$A$1:$A$36,BS!E$1:E$36,,0,1)</f>
        <v>0.29390271476323732</v>
      </c>
      <c r="F32" s="15">
        <f>_xlfn.XLOOKUP($A32,BS!$A$1:$A$36,BS!F$1:F$36,,0,1)/_xlfn.XLOOKUP($A$20,BS!$A$1:$A$36,BS!F$1:F$36,,0,1)</f>
        <v>0.2787589549048089</v>
      </c>
    </row>
    <row r="33" spans="1:6" ht="16" x14ac:dyDescent="0.35">
      <c r="A33" t="str">
        <f>BS!A33</f>
        <v>Provisions</v>
      </c>
      <c r="B33" s="15">
        <f>_xlfn.XLOOKUP($A33,BS!$A$1:$A$36,BS!B$1:B$36,,0,1)/_xlfn.XLOOKUP($A$20,BS!$A$1:$A$36,BS!B$1:B$36,,0,1)</f>
        <v>3.8021985915531867E-2</v>
      </c>
      <c r="C33" s="15">
        <f>_xlfn.XLOOKUP($A33,BS!$A$1:$A$36,BS!C$1:C$36,,0,1)/_xlfn.XLOOKUP($A$20,BS!$A$1:$A$36,BS!C$1:C$36,,0,1)</f>
        <v>4.6505717831327273E-2</v>
      </c>
      <c r="D33" s="15">
        <f>_xlfn.XLOOKUP($A33,BS!$A$1:$A$36,BS!D$1:D$36,,0,1)/_xlfn.XLOOKUP($A$20,BS!$A$1:$A$36,BS!D$1:D$36,,0,1)</f>
        <v>4.8978068759042065E-2</v>
      </c>
      <c r="E33" s="15">
        <f>_xlfn.XLOOKUP($A33,BS!$A$1:$A$36,BS!E$1:E$36,,0,1)/_xlfn.XLOOKUP($A$20,BS!$A$1:$A$36,BS!E$1:E$36,,0,1)</f>
        <v>4.9951765883126831E-2</v>
      </c>
      <c r="F33" s="15">
        <f>_xlfn.XLOOKUP($A33,BS!$A$1:$A$36,BS!F$1:F$36,,0,1)/_xlfn.XLOOKUP($A$20,BS!$A$1:$A$36,BS!F$1:F$36,,0,1)</f>
        <v>5.498959419917436E-2</v>
      </c>
    </row>
    <row r="34" spans="1:6" ht="16" x14ac:dyDescent="0.35">
      <c r="A34" t="str">
        <f>BS!A34</f>
        <v>Current tax liabilities (Net)</v>
      </c>
      <c r="B34" s="15">
        <f>_xlfn.XLOOKUP($A34,BS!$A$1:$A$36,BS!B$1:B$36,,0,1)/_xlfn.XLOOKUP($A$20,BS!$A$1:$A$36,BS!B$1:B$36,,0,1)</f>
        <v>2.0466406416196309E-3</v>
      </c>
      <c r="C34" s="15">
        <f>_xlfn.XLOOKUP($A34,BS!$A$1:$A$36,BS!C$1:C$36,,0,1)/_xlfn.XLOOKUP($A$20,BS!$A$1:$A$36,BS!C$1:C$36,,0,1)</f>
        <v>3.5495223613067352E-3</v>
      </c>
      <c r="D34" s="15">
        <f>_xlfn.XLOOKUP($A34,BS!$A$1:$A$36,BS!D$1:D$36,,0,1)/_xlfn.XLOOKUP($A$20,BS!$A$1:$A$36,BS!D$1:D$36,,0,1)</f>
        <v>3.431978175250797E-4</v>
      </c>
      <c r="E34" s="15">
        <f>_xlfn.XLOOKUP($A34,BS!$A$1:$A$36,BS!E$1:E$36,,0,1)/_xlfn.XLOOKUP($A$20,BS!$A$1:$A$36,BS!E$1:E$36,,0,1)</f>
        <v>1.565832509345079E-3</v>
      </c>
      <c r="F34" s="15">
        <f>_xlfn.XLOOKUP($A34,BS!$A$1:$A$36,BS!F$1:F$36,,0,1)/_xlfn.XLOOKUP($A$20,BS!$A$1:$A$36,BS!F$1:F$36,,0,1)</f>
        <v>5.3596951793594208E-3</v>
      </c>
    </row>
    <row r="35" spans="1:6" ht="16" x14ac:dyDescent="0.35">
      <c r="A35" t="str">
        <f>BS!A35</f>
        <v>Other current liabilities</v>
      </c>
      <c r="B35" s="15">
        <f>_xlfn.XLOOKUP($A35,BS!$A$1:$A$36,BS!B$1:B$36,,0,1)/_xlfn.XLOOKUP($A$20,BS!$A$1:$A$36,BS!B$1:B$36,,0,1)</f>
        <v>6.4598476623042933E-3</v>
      </c>
      <c r="C35" s="15">
        <f>_xlfn.XLOOKUP($A35,BS!$A$1:$A$36,BS!C$1:C$36,,0,1)/_xlfn.XLOOKUP($A$20,BS!$A$1:$A$36,BS!C$1:C$36,,0,1)</f>
        <v>7.8377498511159587E-3</v>
      </c>
      <c r="D35" s="15">
        <f>_xlfn.XLOOKUP($A35,BS!$A$1:$A$36,BS!D$1:D$36,,0,1)/_xlfn.XLOOKUP($A$20,BS!$A$1:$A$36,BS!D$1:D$36,,0,1)</f>
        <v>1.1809675858146056E-2</v>
      </c>
      <c r="E35" s="15">
        <f>_xlfn.XLOOKUP($A35,BS!$A$1:$A$36,BS!E$1:E$36,,0,1)/_xlfn.XLOOKUP($A$20,BS!$A$1:$A$36,BS!E$1:E$36,,0,1)</f>
        <v>9.6966494062337948E-3</v>
      </c>
      <c r="F35" s="15">
        <f>_xlfn.XLOOKUP($A35,BS!$A$1:$A$36,BS!F$1:F$36,,0,1)/_xlfn.XLOOKUP($A$20,BS!$A$1:$A$36,BS!F$1:F$36,,0,1)</f>
        <v>1.0251728190464991E-2</v>
      </c>
    </row>
    <row r="36" spans="1:6" ht="16" x14ac:dyDescent="0.35">
      <c r="A36" t="str">
        <f>BS!A36</f>
        <v>TOTAL EQUITY AND LIABILITIES (1) + (2) + (3)</v>
      </c>
      <c r="B36" s="15">
        <f>_xlfn.XLOOKUP($A36,BS!$A$1:$A$36,BS!B$1:B$36,,0,1)/_xlfn.XLOOKUP($A$20,BS!$A$1:$A$36,BS!B$1:B$36,,0,1)</f>
        <v>1</v>
      </c>
      <c r="C36" s="15">
        <f>_xlfn.XLOOKUP($A36,BS!$A$1:$A$36,BS!C$1:C$36,,0,1)/_xlfn.XLOOKUP($A$20,BS!$A$1:$A$36,BS!C$1:C$36,,0,1)</f>
        <v>1</v>
      </c>
      <c r="D36" s="15">
        <f>_xlfn.XLOOKUP($A36,BS!$A$1:$A$36,BS!D$1:D$36,,0,1)/_xlfn.XLOOKUP($A$20,BS!$A$1:$A$36,BS!D$1:D$36,,0,1)</f>
        <v>1</v>
      </c>
      <c r="E36" s="15">
        <f>_xlfn.XLOOKUP($A36,BS!$A$1:$A$36,BS!E$1:E$36,,0,1)/_xlfn.XLOOKUP($A$20,BS!$A$1:$A$36,BS!E$1:E$36,,0,1)</f>
        <v>1</v>
      </c>
      <c r="F36" s="15">
        <f>_xlfn.XLOOKUP($A36,BS!$A$1:$A$36,BS!F$1:F$36,,0,1)/_xlfn.XLOOKUP($A$20,BS!$A$1:$A$36,BS!F$1:F$36,,0,1)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IS</vt:lpstr>
      <vt:lpstr>BS</vt:lpstr>
      <vt:lpstr>IS_XLOOPUP</vt:lpstr>
      <vt:lpstr>IS_VLOOKUP</vt:lpstr>
      <vt:lpstr>IS_COMP</vt:lpstr>
      <vt:lpstr>BS_COMP</vt:lpstr>
      <vt:lpstr>IS_COMM</vt:lpstr>
      <vt:lpstr>BS_COMM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potharla</dc:creator>
  <cp:lastModifiedBy>srikanth potharla</cp:lastModifiedBy>
  <dcterms:created xsi:type="dcterms:W3CDTF">2025-11-19T08:24:03Z</dcterms:created>
  <dcterms:modified xsi:type="dcterms:W3CDTF">2025-12-03T09:03:16Z</dcterms:modified>
</cp:coreProperties>
</file>